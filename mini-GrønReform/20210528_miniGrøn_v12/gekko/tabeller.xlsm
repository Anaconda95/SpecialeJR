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  <Override ContentType="application/vnd.openxmlformats-officedocument.spreadsheetml.worksheet+xml" PartName="/xl/worksheets/sheet35.xml"/>
  <Override ContentType="application/vnd.openxmlformats-officedocument.spreadsheetml.worksheet+xml" PartName="/xl/worksheets/sheet36.xml"/>
  <Override ContentType="application/vnd.openxmlformats-officedocument.spreadsheetml.worksheet+xml" PartName="/xl/worksheets/sheet37.xml"/>
  <Override ContentType="application/vnd.openxmlformats-officedocument.spreadsheetml.worksheet+xml" PartName="/xl/worksheets/sheet38.xml"/>
  <Override ContentType="application/vnd.openxmlformats-officedocument.spreadsheetml.worksheet+xml" PartName="/xl/worksheets/sheet39.xml"/>
  <Override ContentType="application/vnd.openxmlformats-officedocument.spreadsheetml.worksheet+xml" PartName="/xl/worksheets/sheet40.xml"/>
  <Override ContentType="application/vnd.openxmlformats-officedocument.spreadsheetml.worksheet+xml" PartName="/xl/worksheets/sheet41.xml"/>
  <Override ContentType="application/vnd.openxmlformats-officedocument.spreadsheetml.worksheet+xml" PartName="/xl/worksheets/sheet42.xml"/>
  <Override ContentType="application/vnd.openxmlformats-officedocument.spreadsheetml.worksheet+xml" PartName="/xl/worksheets/sheet43.xml"/>
  <Override ContentType="application/vnd.openxmlformats-officedocument.spreadsheetml.worksheet+xml" PartName="/xl/worksheets/sheet44.xml"/>
  <Override ContentType="application/vnd.openxmlformats-officedocument.spreadsheetml.worksheet+xml" PartName="/xl/worksheets/sheet45.xml"/>
  <Override ContentType="application/vnd.openxmlformats-officedocument.spreadsheetml.worksheet+xml" PartName="/xl/worksheets/sheet46.xml"/>
  <Override ContentType="application/vnd.openxmlformats-officedocument.spreadsheetml.worksheet+xml" PartName="/xl/worksheets/sheet47.xml"/>
  <Override ContentType="application/vnd.openxmlformats-officedocument.spreadsheetml.worksheet+xml" PartName="/xl/worksheets/sheet48.xml"/>
  <Override ContentType="application/vnd.openxmlformats-officedocument.spreadsheetml.worksheet+xml" PartName="/xl/worksheets/sheet49.xml"/>
  <Override ContentType="application/vnd.openxmlformats-officedocument.spreadsheetml.worksheet+xml" PartName="/xl/worksheets/sheet50.xml"/>
  <Override ContentType="application/vnd.openxmlformats-officedocument.spreadsheetml.worksheet+xml" PartName="/xl/worksheets/sheet51.xml"/>
  <Override ContentType="application/vnd.openxmlformats-officedocument.spreadsheetml.worksheet+xml" PartName="/xl/worksheets/sheet52.xml"/>
  <Override ContentType="application/vnd.openxmlformats-officedocument.spreadsheetml.worksheet+xml" PartName="/xl/worksheets/sheet53.xml"/>
  <Override ContentType="application/vnd.openxmlformats-officedocument.spreadsheetml.worksheet+xml" PartName="/xl/worksheets/sheet54.xml"/>
  <Override ContentType="application/vnd.openxmlformats-officedocument.spreadsheetml.worksheet+xml" PartName="/xl/worksheets/sheet55.xml"/>
  <Override ContentType="application/vnd.openxmlformats-officedocument.spreadsheetml.worksheet+xml" PartName="/xl/worksheets/sheet56.xml"/>
  <Override ContentType="application/vnd.openxmlformats-officedocument.spreadsheetml.worksheet+xml" PartName="/xl/worksheets/sheet57.xml"/>
  <Override ContentType="application/vnd.openxmlformats-officedocument.spreadsheetml.worksheet+xml" PartName="/xl/worksheets/sheet58.xml"/>
  <Override ContentType="application/vnd.openxmlformats-officedocument.spreadsheetml.worksheet+xml" PartName="/xl/worksheets/sheet59.xml"/>
  <Override ContentType="application/vnd.openxmlformats-officedocument.spreadsheetml.worksheet+xml" PartName="/xl/worksheets/sheet60.xml"/>
  <Override ContentType="application/vnd.openxmlformats-officedocument.spreadsheetml.worksheet+xml" PartName="/xl/worksheets/sheet61.xml"/>
  <Override ContentType="application/vnd.openxmlformats-officedocument.spreadsheetml.worksheet+xml" PartName="/xl/worksheets/sheet62.xml"/>
  <Override ContentType="application/vnd.openxmlformats-officedocument.spreadsheetml.worksheet+xml" PartName="/xl/worksheets/sheet63.xml"/>
  <Override ContentType="application/vnd.openxmlformats-officedocument.spreadsheetml.worksheet+xml" PartName="/xl/worksheets/sheet64.xml"/>
  <Override ContentType="application/vnd.openxmlformats-officedocument.spreadsheetml.worksheet+xml" PartName="/xl/worksheets/sheet65.xml"/>
  <Override ContentType="application/vnd.openxmlformats-officedocument.spreadsheetml.worksheet+xml" PartName="/xl/worksheets/sheet66.xml"/>
  <Override ContentType="application/vnd.openxmlformats-officedocument.spreadsheetml.worksheet+xml" PartName="/xl/worksheets/sheet67.xml"/>
  <Override ContentType="application/vnd.openxmlformats-officedocument.spreadsheetml.worksheet+xml" PartName="/xl/worksheets/sheet68.xml"/>
  <Override ContentType="application/vnd.openxmlformats-officedocument.spreadsheetml.worksheet+xml" PartName="/xl/worksheets/sheet69.xml"/>
  <Override ContentType="application/vnd.openxmlformats-officedocument.spreadsheetml.worksheet+xml" PartName="/xl/worksheets/sheet70.xml"/>
  <Override ContentType="application/vnd.openxmlformats-officedocument.spreadsheetml.worksheet+xml" PartName="/xl/worksheets/sheet71.xml"/>
  <Override ContentType="application/vnd.openxmlformats-officedocument.spreadsheetml.worksheet+xml" PartName="/xl/worksheets/sheet72.xml"/>
  <Override ContentType="application/vnd.openxmlformats-officedocument.spreadsheetml.worksheet+xml" PartName="/xl/worksheets/sheet73.xml"/>
  <Override ContentType="application/vnd.openxmlformats-officedocument.spreadsheetml.worksheet+xml" PartName="/xl/worksheets/sheet74.xml"/>
  <Override ContentType="application/vnd.openxmlformats-officedocument.spreadsheetml.worksheet+xml" PartName="/xl/worksheets/sheet75.xml"/>
  <Override ContentType="application/vnd.openxmlformats-officedocument.spreadsheetml.worksheet+xml" PartName="/xl/worksheets/sheet76.xml"/>
  <Override ContentType="application/vnd.openxmlformats-officedocument.spreadsheetml.worksheet+xml" PartName="/xl/worksheets/sheet77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ml.chart+xml" PartName="/xl/charts/chart1.xml"/>
  <Override ContentType="application/vnd.openxmlformats-officedocument.drawingml.chartshapes+xml" PartName="/xl/drawings/drawing2.xml"/>
  <Override ContentType="application/vnd.openxmlformats-officedocument.drawingml.chart+xml" PartName="/xl/charts/chart2.xml"/>
  <Override ContentType="application/vnd.openxmlformats-officedocument.drawingml.chartshapes+xml" PartName="/xl/drawings/drawing3.xml"/>
  <Override ContentType="application/vnd.openxmlformats-officedocument.drawingml.chart+xml" PartName="/xl/charts/chart3.xml"/>
  <Override ContentType="application/vnd.openxmlformats-officedocument.drawingml.chartshapes+xml" PartName="/xl/drawings/drawing4.xml"/>
  <Override ContentType="application/vnd.openxmlformats-officedocument.drawing+xml" PartName="/xl/drawings/drawing5.xml"/>
  <Override ContentType="application/vnd.openxmlformats-officedocument.drawingml.chart+xml" PartName="/xl/charts/chart4.xml"/>
  <Override ContentType="application/vnd.openxmlformats-officedocument.drawingml.chartshapes+xml" PartName="/xl/drawings/drawing6.xml"/>
  <Override ContentType="application/vnd.openxmlformats-officedocument.drawing+xml" PartName="/xl/drawings/drawing7.xml"/>
  <Override ContentType="application/vnd.openxmlformats-officedocument.drawingml.chart+xml" PartName="/xl/charts/chart5.xml"/>
  <Override ContentType="application/vnd.openxmlformats-officedocument.drawingml.chartshapes+xml" PartName="/xl/drawings/drawing8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ms-office.chartstyle+xml" PartName="/xl/charts/style1.xml"/>
  <Override ContentType="application/vnd.ms-office.chartcolorstyle+xml" PartName="/xl/charts/colors1.xml"/>
  <Override ContentType="application/vnd.ms-office.chartstyle+xml" PartName="/xl/charts/style2.xml"/>
  <Override ContentType="application/vnd.ms-office.chartcolorstyle+xml" PartName="/xl/charts/colors2.xml"/>
  <Override ContentType="application/vnd.ms-office.chartstyle+xml" PartName="/xl/charts/style3.xml"/>
  <Override ContentType="application/vnd.ms-office.chartcolorstyle+xml" PartName="/xl/charts/colors3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40" yWindow="360" windowWidth="20700" windowHeight="8700" firstSheet="61" activeTab="70"/>
  </bookViews>
  <sheets>
    <sheet name="skabelon" sheetId="1" r:id="rId1"/>
    <sheet name="01000a" sheetId="4" r:id="rId2"/>
    <sheet name="01000b" sheetId="6" r:id="rId3"/>
    <sheet name="01000c" sheetId="8" r:id="rId4"/>
    <sheet name="01000d" sheetId="9" r:id="rId5"/>
    <sheet name="020000" sheetId="10" r:id="rId6"/>
    <sheet name="030000" sheetId="11" r:id="rId7"/>
    <sheet name="060000a" sheetId="12" r:id="rId8"/>
    <sheet name="060000b" sheetId="13" r:id="rId9"/>
    <sheet name="080090" sheetId="14" r:id="rId10"/>
    <sheet name="100010a" sheetId="15" r:id="rId11"/>
    <sheet name="100010b" sheetId="16" r:id="rId12"/>
    <sheet name="100010c" sheetId="17" r:id="rId13"/>
    <sheet name="100020" sheetId="18" r:id="rId14"/>
    <sheet name="100030" sheetId="19" r:id="rId15"/>
    <sheet name="100040" sheetId="20" r:id="rId16"/>
    <sheet name="100050" sheetId="21" r:id="rId17"/>
    <sheet name="11200" sheetId="22" r:id="rId18"/>
    <sheet name="Industri" sheetId="23" r:id="rId19"/>
    <sheet name="160000" sheetId="24" r:id="rId20"/>
    <sheet name="200010" sheetId="25" r:id="rId21"/>
    <sheet name="200020" sheetId="26" r:id="rId22"/>
    <sheet name="210000" sheetId="27" r:id="rId23"/>
    <sheet name="220000" sheetId="28" r:id="rId24"/>
    <sheet name="230010" sheetId="29" r:id="rId25"/>
    <sheet name="230020" sheetId="30" r:id="rId26"/>
    <sheet name="240000" sheetId="31" r:id="rId27"/>
    <sheet name="250000" sheetId="32" r:id="rId28"/>
    <sheet name="280010" sheetId="33" r:id="rId29"/>
    <sheet name="280020" sheetId="34" r:id="rId30"/>
    <sheet name="190000a" sheetId="35" r:id="rId31"/>
    <sheet name="190000b" sheetId="36" r:id="rId32"/>
    <sheet name="383900" sheetId="74" r:id="rId33"/>
    <sheet name="350010a" sheetId="37" r:id="rId34"/>
    <sheet name="350010b" sheetId="38" r:id="rId35"/>
    <sheet name="350020a" sheetId="39" r:id="rId36"/>
    <sheet name="350020b" sheetId="40" r:id="rId37"/>
    <sheet name="350030a" sheetId="41" r:id="rId38"/>
    <sheet name="350030b" sheetId="42" r:id="rId39"/>
    <sheet name="36700" sheetId="43" r:id="rId40"/>
    <sheet name="383900old" sheetId="44" state="hidden" r:id="rId41"/>
    <sheet name="45000" sheetId="45" r:id="rId42"/>
    <sheet name="470000" sheetId="46" r:id="rId43"/>
    <sheet name="490012" sheetId="47" r:id="rId44"/>
    <sheet name="490030a" sheetId="48" r:id="rId45"/>
    <sheet name="50000a" sheetId="49" r:id="rId46"/>
    <sheet name="51000a" sheetId="50" r:id="rId47"/>
    <sheet name="52000" sheetId="51" r:id="rId48"/>
    <sheet name="550000" sheetId="52" r:id="rId49"/>
    <sheet name="560000" sheetId="53" r:id="rId50"/>
    <sheet name="410009" sheetId="54" r:id="rId51"/>
    <sheet name="420000" sheetId="55" r:id="rId52"/>
    <sheet name="43000" sheetId="56" r:id="rId53"/>
    <sheet name="460000" sheetId="57" r:id="rId54"/>
    <sheet name="490030b" sheetId="58" r:id="rId55"/>
    <sheet name="51000b" sheetId="59" r:id="rId56"/>
    <sheet name="53000" sheetId="60" r:id="rId57"/>
    <sheet name="79000" sheetId="61" r:id="rId58"/>
    <sheet name="50000b" sheetId="62" r:id="rId59"/>
    <sheet name="Tjenester" sheetId="63" r:id="rId60"/>
    <sheet name="Boliger" sheetId="64" r:id="rId61"/>
    <sheet name="Offentlig" sheetId="65" r:id="rId62"/>
    <sheet name="Husholdninger" sheetId="70" r:id="rId63"/>
    <sheet name="Total gammel" sheetId="68" state="hidden" r:id="rId64"/>
    <sheet name="Total" sheetId="72" state="hidden" r:id="rId65"/>
    <sheet name="Total DK gammel" sheetId="69" state="hidden" r:id="rId66"/>
    <sheet name="Total DK" sheetId="73" r:id="rId67"/>
    <sheet name="Vandfald" sheetId="82" r:id="rId68"/>
    <sheet name="Makro" sheetId="75" r:id="rId69"/>
    <sheet name="Makro_branche" sheetId="76" r:id="rId70"/>
    <sheet name="kvaelstof" sheetId="83" r:id="rId71"/>
    <sheet name="luft" sheetId="84" r:id="rId72"/>
    <sheet name="Tabel_reduktioner" sheetId="81" r:id="rId73"/>
    <sheet name="Off.finans" sheetId="77" r:id="rId74"/>
    <sheet name="FIG_sammen1" sheetId="78" r:id="rId75"/>
    <sheet name="FIG_sammen2" sheetId="79" r:id="rId76"/>
    <sheet name="Sammen_tabel" sheetId="80" r:id="rId77"/>
  </sheets>
  <calcPr calcId="145621" fullCalcOnLoad="1"/>
</workbook>
</file>

<file path=xl/sharedStrings.xml><?xml version="1.0" encoding="utf-8"?>
<sst xmlns="http://schemas.openxmlformats.org/spreadsheetml/2006/main" count="442" uniqueCount="442">
  <si>
    <t>Uændret politik</t>
  </si>
  <si>
    <t>Reduktionstiltag</t>
  </si>
  <si>
    <t>Pris (ændring i pct.)</t>
  </si>
  <si>
    <t>BVT</t>
  </si>
  <si>
    <t>BVT (ændring i pct.)</t>
  </si>
  <si>
    <t>Produktion (ændring i pct.)</t>
  </si>
  <si>
    <t>Matrialer (ændring i pct.)</t>
  </si>
  <si>
    <t>Transport (ændring i pct.)</t>
  </si>
  <si>
    <t>Bygningskapital (ændring i pct.)</t>
  </si>
  <si>
    <t>Arbejdskraft (ændring i pct.)</t>
  </si>
  <si>
    <t>Fossilbaseret input (ændring i pct.)</t>
  </si>
  <si>
    <t>Øvrig input (ændring i pct.)</t>
  </si>
  <si>
    <t>--------- Drivhusgasser --------</t>
  </si>
  <si>
    <t>CO2 via forbrænding af fossil energi</t>
  </si>
  <si>
    <t>- herunder benzin og diesel</t>
  </si>
  <si>
    <t>Anden CO2-udledning</t>
  </si>
  <si>
    <t>Methan, Lattergas og flour</t>
  </si>
  <si>
    <t xml:space="preserve">Drivhusgasudledninger, i alt </t>
  </si>
  <si>
    <t>-----Effekt af reduktionstiltag-----</t>
  </si>
  <si>
    <t>Reduktion i alt</t>
  </si>
  <si>
    <t>Reduktion pga. lavere produktion</t>
  </si>
  <si>
    <t>Reduktion via proces- og varmeteknologi</t>
  </si>
  <si>
    <t>Reduktion i transporten</t>
  </si>
  <si>
    <t>Reduktionstiltag ift. øvrige drivhusgasser</t>
  </si>
  <si>
    <t>Reduktion via øvrige tiltag i produktionen</t>
  </si>
  <si>
    <t>dY[01000a]</t>
  </si>
  <si>
    <t>Brancher</t>
  </si>
  <si>
    <t>Landbrug</t>
  </si>
  <si>
    <t>Gennemsnit (grundforløb)</t>
  </si>
  <si>
    <t>Gennemsnit (alternativforløb)</t>
  </si>
  <si>
    <t>dY[01000b]</t>
  </si>
  <si>
    <t>dY[01000c]</t>
  </si>
  <si>
    <t>dY[01000d]</t>
  </si>
  <si>
    <t>dY[11200]</t>
  </si>
  <si>
    <t>dY[020000]</t>
  </si>
  <si>
    <t>dY[030000]</t>
  </si>
  <si>
    <t>dY[36700]</t>
  </si>
  <si>
    <t>dY[43000]</t>
  </si>
  <si>
    <t>dY[45000]</t>
  </si>
  <si>
    <t>dY[50000a]</t>
  </si>
  <si>
    <t>dY[50000b]</t>
  </si>
  <si>
    <t>dY[51000a]</t>
  </si>
  <si>
    <t>dY[51000b]</t>
  </si>
  <si>
    <t>dY[52000]</t>
  </si>
  <si>
    <t>dY[53000]</t>
  </si>
  <si>
    <t>dY[060000a]</t>
  </si>
  <si>
    <t>dY[060000b]</t>
  </si>
  <si>
    <t>dY[79000]</t>
  </si>
  <si>
    <t>dY[080090]</t>
  </si>
  <si>
    <t>dY[100010a]</t>
  </si>
  <si>
    <t>dY[100010b]</t>
  </si>
  <si>
    <t>dY[100010c]</t>
  </si>
  <si>
    <t>dY[100020]</t>
  </si>
  <si>
    <t>dY[100030]</t>
  </si>
  <si>
    <t>dY[100040]</t>
  </si>
  <si>
    <t>dY[100050]</t>
  </si>
  <si>
    <t>dY[160000]</t>
  </si>
  <si>
    <t>dY[190000a]</t>
  </si>
  <si>
    <t>dY[190000b]</t>
  </si>
  <si>
    <t>dY[200010]</t>
  </si>
  <si>
    <t>dY[200020]</t>
  </si>
  <si>
    <t>dY[210000]</t>
  </si>
  <si>
    <t>dY[220000]</t>
  </si>
  <si>
    <t>dY[230010]</t>
  </si>
  <si>
    <t>dY[230020]</t>
  </si>
  <si>
    <t>dY[240000]</t>
  </si>
  <si>
    <t>dY[250000]</t>
  </si>
  <si>
    <t>dY[280010]</t>
  </si>
  <si>
    <t>dY[280020]</t>
  </si>
  <si>
    <t>dY[350010a]</t>
  </si>
  <si>
    <t>dY[350010b]</t>
  </si>
  <si>
    <t>dY[350020a]</t>
  </si>
  <si>
    <t>dY[350020b]</t>
  </si>
  <si>
    <t>dY[350030a]</t>
  </si>
  <si>
    <t>dY[350030b]</t>
  </si>
  <si>
    <t>dY[383900]</t>
  </si>
  <si>
    <t>dY[410009]</t>
  </si>
  <si>
    <t>dY[420000]</t>
  </si>
  <si>
    <t>dY[460000]</t>
  </si>
  <si>
    <t>dY[470000]</t>
  </si>
  <si>
    <t>dY[490012]</t>
  </si>
  <si>
    <t>dY[490030a]</t>
  </si>
  <si>
    <t>dY[490030b]</t>
  </si>
  <si>
    <t>dY[550000]</t>
  </si>
  <si>
    <t>dY[560000]</t>
  </si>
  <si>
    <t>dY[Boliger]</t>
  </si>
  <si>
    <t>dY[Industri]</t>
  </si>
  <si>
    <t>dY[Offentlig]</t>
  </si>
  <si>
    <t>dY[Tjenester]</t>
  </si>
  <si>
    <t>DivY[01000a]</t>
  </si>
  <si>
    <t>DivY[01000b]</t>
  </si>
  <si>
    <t>DivY[01000c]</t>
  </si>
  <si>
    <t>DivY[01000d]</t>
  </si>
  <si>
    <t>DivY[11200]</t>
  </si>
  <si>
    <t>DivY[020000]</t>
  </si>
  <si>
    <t>DivY[030000]</t>
  </si>
  <si>
    <t>DivY[36700]</t>
  </si>
  <si>
    <t>DivY[43000]</t>
  </si>
  <si>
    <t>DivY[45000]</t>
  </si>
  <si>
    <t>DivY[50000a]</t>
  </si>
  <si>
    <t>DivY[50000b]</t>
  </si>
  <si>
    <t>DivY[51000a]</t>
  </si>
  <si>
    <t>DivY[51000b]</t>
  </si>
  <si>
    <t>DivY[52000]</t>
  </si>
  <si>
    <t>DivY[53000]</t>
  </si>
  <si>
    <t>DivY[060000a]</t>
  </si>
  <si>
    <t>DivY[060000b]</t>
  </si>
  <si>
    <t>DivY[79000]</t>
  </si>
  <si>
    <t>DivY[080090]</t>
  </si>
  <si>
    <t>DivY[100010a]</t>
  </si>
  <si>
    <t>DivY[100010b]</t>
  </si>
  <si>
    <t>DivY[100010c]</t>
  </si>
  <si>
    <t>DivY[100020]</t>
  </si>
  <si>
    <t>DivY[100030]</t>
  </si>
  <si>
    <t>DivY[100040]</t>
  </si>
  <si>
    <t>DivY[100050]</t>
  </si>
  <si>
    <t>DivY[160000]</t>
  </si>
  <si>
    <t>DivY[190000a]</t>
  </si>
  <si>
    <t>DivY[190000b]</t>
  </si>
  <si>
    <t>DivY[200010]</t>
  </si>
  <si>
    <t>DivY[200020]</t>
  </si>
  <si>
    <t>DivY[210000]</t>
  </si>
  <si>
    <t>DivY[220000]</t>
  </si>
  <si>
    <t>DivY[230010]</t>
  </si>
  <si>
    <t>DivY[230020]</t>
  </si>
  <si>
    <t>DivY[240000]</t>
  </si>
  <si>
    <t>DivY[250000]</t>
  </si>
  <si>
    <t>DivY[280010]</t>
  </si>
  <si>
    <t>DivY[280020]</t>
  </si>
  <si>
    <t>DivY[350010a]</t>
  </si>
  <si>
    <t>DivY[350010b]</t>
  </si>
  <si>
    <t>DivY[350020a]</t>
  </si>
  <si>
    <t>DivY[350020b]</t>
  </si>
  <si>
    <t>DivY[350030a]</t>
  </si>
  <si>
    <t>DivY[350030b]</t>
  </si>
  <si>
    <t>DivY[383900]</t>
  </si>
  <si>
    <t>DivY[410009]</t>
  </si>
  <si>
    <t>DivY[420000]</t>
  </si>
  <si>
    <t>DivY[460000]</t>
  </si>
  <si>
    <t>DivY[470000]</t>
  </si>
  <si>
    <t>DivY[490012]</t>
  </si>
  <si>
    <t>DivY[490030a]</t>
  </si>
  <si>
    <t>DivY[490030b]</t>
  </si>
  <si>
    <t>DivY[550000]</t>
  </si>
  <si>
    <t>DivY[560000]</t>
  </si>
  <si>
    <t>DivY[Boliger]</t>
  </si>
  <si>
    <t>DivY[Industri]</t>
  </si>
  <si>
    <t>DivY[Offentlig]</t>
  </si>
  <si>
    <t>DivY[Tjenester]</t>
  </si>
  <si>
    <t>DivYavgBase</t>
  </si>
  <si>
    <t>DivYavgalt</t>
  </si>
  <si>
    <t>YL[01000a]</t>
  </si>
  <si>
    <t>YL[01000b]</t>
  </si>
  <si>
    <t>YL[01000c]</t>
  </si>
  <si>
    <t>YL[01000d]</t>
  </si>
  <si>
    <t>YL[11200]</t>
  </si>
  <si>
    <t>YL[020000]</t>
  </si>
  <si>
    <t>YL[030000]</t>
  </si>
  <si>
    <t>YL[36700]</t>
  </si>
  <si>
    <t>YL[43000]</t>
  </si>
  <si>
    <t>YL[45000]</t>
  </si>
  <si>
    <t>YL[50000a]</t>
  </si>
  <si>
    <t>YL[50000b]</t>
  </si>
  <si>
    <t>YL[51000a]</t>
  </si>
  <si>
    <t>YL[51000b]</t>
  </si>
  <si>
    <t>YL[52000]</t>
  </si>
  <si>
    <t>YL[53000]</t>
  </si>
  <si>
    <t>YL[060000a]</t>
  </si>
  <si>
    <t>YL[060000b]</t>
  </si>
  <si>
    <t>YL[79000]</t>
  </si>
  <si>
    <t>YL[080090]</t>
  </si>
  <si>
    <t>YL[100010a]</t>
  </si>
  <si>
    <t>YL[100010b]</t>
  </si>
  <si>
    <t>YL[100010c]</t>
  </si>
  <si>
    <t>YL[100020]</t>
  </si>
  <si>
    <t>YL[100030]</t>
  </si>
  <si>
    <t>YL[100040]</t>
  </si>
  <si>
    <t>YL[100050]</t>
  </si>
  <si>
    <t>YL[160000]</t>
  </si>
  <si>
    <t>YL[190000a]</t>
  </si>
  <si>
    <t>YL[190000b]</t>
  </si>
  <si>
    <t>YL[200010]</t>
  </si>
  <si>
    <t>YL[200020]</t>
  </si>
  <si>
    <t>YL[210000]</t>
  </si>
  <si>
    <t>YL[220000]</t>
  </si>
  <si>
    <t>YL[230010]</t>
  </si>
  <si>
    <t>YL[230020]</t>
  </si>
  <si>
    <t>YL[240000]</t>
  </si>
  <si>
    <t>YL[250000]</t>
  </si>
  <si>
    <t>YL[280010]</t>
  </si>
  <si>
    <t>YL[280020]</t>
  </si>
  <si>
    <t>YL[350010a]</t>
  </si>
  <si>
    <t>YL[350010b]</t>
  </si>
  <si>
    <t>YL[350020a]</t>
  </si>
  <si>
    <t>YL[350020b]</t>
  </si>
  <si>
    <t>YL[350030a]</t>
  </si>
  <si>
    <t>YL[350030b]</t>
  </si>
  <si>
    <t>YL[383900]</t>
  </si>
  <si>
    <t>YL[410009]</t>
  </si>
  <si>
    <t>YL[420000]</t>
  </si>
  <si>
    <t>YL[460000]</t>
  </si>
  <si>
    <t>YL[470000]</t>
  </si>
  <si>
    <t>YL[490012]</t>
  </si>
  <si>
    <t>YL[490030a]</t>
  </si>
  <si>
    <t>YL[490030b]</t>
  </si>
  <si>
    <t>YL[550000]</t>
  </si>
  <si>
    <t>YL[560000]</t>
  </si>
  <si>
    <t>YL[Boliger]</t>
  </si>
  <si>
    <t>YL[Industri]</t>
  </si>
  <si>
    <t>YL[Offentlig]</t>
  </si>
  <si>
    <t>YL[Tjenester]</t>
  </si>
  <si>
    <t>YLavgBase</t>
  </si>
  <si>
    <t>YLavgalt</t>
  </si>
  <si>
    <t>Niveau i grundforløb (mia. kr.)</t>
  </si>
  <si>
    <t>Ændring (mia. kr.)</t>
  </si>
  <si>
    <t>Test</t>
  </si>
  <si>
    <t>Indtægter eksl. drivhusgasbeskatning</t>
  </si>
  <si>
    <t>Indkomstskat</t>
  </si>
  <si>
    <t>Kapitalafkastbeskatning</t>
  </si>
  <si>
    <t>Selskabsskat</t>
  </si>
  <si>
    <t>Afgifter</t>
  </si>
  <si>
    <t>Produktionsskatter</t>
  </si>
  <si>
    <t>Udgifter eksl. drivhusgasbeskatning</t>
  </si>
  <si>
    <t>Offentligt forbrug og investeringer</t>
  </si>
  <si>
    <t>Indkomstoverførsler</t>
  </si>
  <si>
    <t>Lump-sum overførsel</t>
  </si>
  <si>
    <t>Drivhusgasbeskatning (nettoindtægt)</t>
  </si>
  <si>
    <t>Bruttobeskatning af CO2-udledninger</t>
  </si>
  <si>
    <t>Bruttobeskatning af øvrige udledninger</t>
  </si>
  <si>
    <t>Fradrag i drivhusbeskatningen</t>
  </si>
  <si>
    <t>Tilskud til BECCS</t>
  </si>
  <si>
    <t>Tilskud til elektrificeret procesteknologi</t>
  </si>
  <si>
    <t>Tilskud til elektrificering af virksomhedernes transport</t>
  </si>
  <si>
    <t>Tilskud til elektrificering af husholdningernes transport</t>
  </si>
  <si>
    <t>Tilskud til reduktionstiltag i landbruget</t>
  </si>
  <si>
    <t>Tilskud til reduktionstiltag i cement og renovation</t>
  </si>
  <si>
    <t>Ændring</t>
  </si>
  <si>
    <t>Fordeling i baseline</t>
  </si>
  <si>
    <t>Fordeling af reduktioner</t>
  </si>
  <si>
    <t>Fødevareindustri</t>
  </si>
  <si>
    <t>Forsyning</t>
  </si>
  <si>
    <t>Industri</t>
  </si>
  <si>
    <t>Private tjenester</t>
  </si>
  <si>
    <t>Offentlige tjenester</t>
  </si>
  <si>
    <t>Øvrige virksomheder</t>
  </si>
  <si>
    <t>Husholdninger</t>
  </si>
  <si>
    <t>Negative udledninger</t>
  </si>
  <si>
    <t>LULUCF</t>
  </si>
  <si>
    <t>I alt</t>
  </si>
  <si>
    <t>Level</t>
  </si>
  <si>
    <t>Produktion per arbejdskraftenhed (fastholdt branchestruktur)</t>
  </si>
  <si>
    <t>(1)</t>
  </si>
  <si>
    <t>dDivY[01000a]</t>
  </si>
  <si>
    <t>01000a</t>
  </si>
  <si>
    <t>Arbejdsudbud</t>
  </si>
  <si>
    <t>(2)</t>
  </si>
  <si>
    <t>dDivY[01000b]</t>
  </si>
  <si>
    <t>01000b</t>
  </si>
  <si>
    <t>Pris</t>
  </si>
  <si>
    <t>(3)</t>
  </si>
  <si>
    <t>dDivY[01000c]</t>
  </si>
  <si>
    <t>01000c</t>
  </si>
  <si>
    <t>Produktion per arbejdskraftenhed pga. brancheforskydninger</t>
  </si>
  <si>
    <t>(4a)</t>
  </si>
  <si>
    <t>dDivY[01000d]</t>
  </si>
  <si>
    <t>01000d</t>
  </si>
  <si>
    <t>Dividender relativt til produktion pga. brancheforskydninger</t>
  </si>
  <si>
    <t>(4b)</t>
  </si>
  <si>
    <t>dDivY[11200]</t>
  </si>
  <si>
    <t>Dividendeændring forskellige fra produktionsændring</t>
  </si>
  <si>
    <t>(4c)</t>
  </si>
  <si>
    <t>dDivY[020000]</t>
  </si>
  <si>
    <t>dDivY[030000]</t>
  </si>
  <si>
    <t>060000a</t>
  </si>
  <si>
    <t>dDivY[36700]</t>
  </si>
  <si>
    <t>060000b</t>
  </si>
  <si>
    <t>dDivY[43000]</t>
  </si>
  <si>
    <t>dDivY[45000]</t>
  </si>
  <si>
    <t>100010a</t>
  </si>
  <si>
    <t>dDivY[50000a]</t>
  </si>
  <si>
    <t>100010b</t>
  </si>
  <si>
    <t>dDivY[50000b]</t>
  </si>
  <si>
    <t>100010c</t>
  </si>
  <si>
    <t>dDivY[51000a]</t>
  </si>
  <si>
    <t>dDivY[51000b]</t>
  </si>
  <si>
    <t>dDivY[52000]</t>
  </si>
  <si>
    <t>dDivY[53000]</t>
  </si>
  <si>
    <t>dDivY[060000a]</t>
  </si>
  <si>
    <t>dDivY[060000b]</t>
  </si>
  <si>
    <t>dDivY[79000]</t>
  </si>
  <si>
    <t>dDivY[080090]</t>
  </si>
  <si>
    <t>dDivY[100010a]</t>
  </si>
  <si>
    <t>dDivY[100010b]</t>
  </si>
  <si>
    <t>dDivY[100010c]</t>
  </si>
  <si>
    <t>dDivY[100020]</t>
  </si>
  <si>
    <t>dDivY[100030]</t>
  </si>
  <si>
    <t>dDivY[100040]</t>
  </si>
  <si>
    <t>dDivY[100050]</t>
  </si>
  <si>
    <t>dDivY[160000]</t>
  </si>
  <si>
    <t>dDivY[190000a]</t>
  </si>
  <si>
    <t>dDivY[190000b]</t>
  </si>
  <si>
    <t>190000a</t>
  </si>
  <si>
    <t>dDivY[200010]</t>
  </si>
  <si>
    <t>190000b</t>
  </si>
  <si>
    <t>dDivY[200020]</t>
  </si>
  <si>
    <t>350010a</t>
  </si>
  <si>
    <t>dDivY[210000]</t>
  </si>
  <si>
    <t>350010b</t>
  </si>
  <si>
    <t>dDivY[220000]</t>
  </si>
  <si>
    <t>350020a</t>
  </si>
  <si>
    <t>dDivY[230010]</t>
  </si>
  <si>
    <t>350020b</t>
  </si>
  <si>
    <t>dDivY[230020]</t>
  </si>
  <si>
    <t>350030a</t>
  </si>
  <si>
    <t>dDivY[240000]</t>
  </si>
  <si>
    <t>350030b</t>
  </si>
  <si>
    <t>dDivY[250000]</t>
  </si>
  <si>
    <t>dDivY[280010]</t>
  </si>
  <si>
    <t>dDivY[280020]</t>
  </si>
  <si>
    <t>dDivY[350010a]</t>
  </si>
  <si>
    <t>dDivY[350010b]</t>
  </si>
  <si>
    <t>dDivY[350020a]</t>
  </si>
  <si>
    <t>490030a</t>
  </si>
  <si>
    <t>dDivY[350020b]</t>
  </si>
  <si>
    <t>50000a</t>
  </si>
  <si>
    <t>dDivY[350030a]</t>
  </si>
  <si>
    <t>51000a</t>
  </si>
  <si>
    <t>dDivY[350030b]</t>
  </si>
  <si>
    <t>dDivY[383900]</t>
  </si>
  <si>
    <t>dDivY[410009]</t>
  </si>
  <si>
    <t>dDivY[420000]</t>
  </si>
  <si>
    <t>dDivY[460000]</t>
  </si>
  <si>
    <t>dDivY[470000]</t>
  </si>
  <si>
    <t>dDivY[490012]</t>
  </si>
  <si>
    <t>dDivY[490030a]</t>
  </si>
  <si>
    <t>490030b</t>
  </si>
  <si>
    <t>dDivY[490030b]</t>
  </si>
  <si>
    <t>51000b</t>
  </si>
  <si>
    <t>dDivY[550000]</t>
  </si>
  <si>
    <t>dDivY[560000]</t>
  </si>
  <si>
    <t>dDivY[Boliger]</t>
  </si>
  <si>
    <t>50000b</t>
  </si>
  <si>
    <t>dDivY[Industri]</t>
  </si>
  <si>
    <t>Tjenester</t>
  </si>
  <si>
    <t>dDivY[Offentlig]</t>
  </si>
  <si>
    <t>Boliger</t>
  </si>
  <si>
    <t>dDivY[Tjenester]</t>
  </si>
  <si>
    <t>Offentlig</t>
  </si>
  <si>
    <t>Værdiansættelse af forbedret luftmiljø (mio. kr.)</t>
  </si>
  <si>
    <t>Reduktioner fra husholdninger</t>
  </si>
  <si>
    <t xml:space="preserve">Reduktioner fra energiforbrug </t>
  </si>
  <si>
    <t>Øvrige reduktioner, produktionsnedgang</t>
  </si>
  <si>
    <t>Øvrige reduktioner, tiltag</t>
  </si>
  <si>
    <t>Reduktion pga. lavere produktion (ton)</t>
  </si>
  <si>
    <t>Reduktion som følge af tiltag ift. N2O (ton)</t>
  </si>
  <si>
    <t>Reduktion i alt (ton)</t>
  </si>
  <si>
    <t>Reduktioner der mindsker omkostningerne ved opnåelse af vandrammedirektivet (pct. af samlede reduktioner / ton)</t>
  </si>
  <si>
    <t>Værdiansættelse af reduceret kvælstofudvaskning (mio. kr.)</t>
  </si>
  <si>
    <t>Ændring (i pct.)</t>
  </si>
  <si>
    <t>Samlet</t>
  </si>
  <si>
    <t>Produktion</t>
  </si>
  <si>
    <t>Arbjedskraft</t>
  </si>
  <si>
    <t>Værdi</t>
  </si>
  <si>
    <t>Udledninger i DK</t>
  </si>
  <si>
    <t>Udledninger ift. BVT</t>
  </si>
  <si>
    <t>Forsyning eksl.</t>
  </si>
  <si>
    <t>Nordsøudvinding</t>
  </si>
  <si>
    <t>Øvrige</t>
  </si>
  <si>
    <t>----- Effekt af reduktionstiltag -----</t>
  </si>
  <si>
    <t>Negative udledninger via CCS</t>
  </si>
  <si>
    <t>Reduktion via CCS</t>
  </si>
  <si>
    <t>Reduktioner fra husholdningerne</t>
  </si>
  <si>
    <t>Negative udledninger via BECCS</t>
  </si>
  <si>
    <t>Drivhusgasudledninger, eksl. LULUCF</t>
  </si>
  <si>
    <t>Reduktion via BECCS</t>
  </si>
  <si>
    <t>Data</t>
  </si>
  <si>
    <t>Søjle</t>
  </si>
  <si>
    <t>Snyd</t>
  </si>
  <si>
    <t>CCS/BECCS</t>
  </si>
  <si>
    <t>Linje1</t>
  </si>
  <si>
    <t>Linje2</t>
  </si>
  <si>
    <t>Linje3</t>
  </si>
  <si>
    <t>Linje4</t>
  </si>
  <si>
    <t>Linje5</t>
  </si>
  <si>
    <t>Linje6</t>
  </si>
  <si>
    <t>Linje7</t>
  </si>
  <si>
    <t>Linje8</t>
  </si>
  <si>
    <t>Linje9</t>
  </si>
  <si>
    <t xml:space="preserve">Frozen
policy</t>
  </si>
  <si>
    <t xml:space="preserve">Grund-
scenarie</t>
  </si>
  <si>
    <t>Frozen policy</t>
  </si>
  <si>
    <t xml:space="preserve">Brutto-
udledninger</t>
  </si>
  <si>
    <t xml:space="preserve">Mindsket
produktion</t>
  </si>
  <si>
    <t xml:space="preserve">Ændret
erhvervsstruktur</t>
  </si>
  <si>
    <t xml:space="preserve">Negative
udledninger</t>
  </si>
  <si>
    <t xml:space="preserve">Proces- og
rumvarme</t>
  </si>
  <si>
    <t xml:space="preserve">Tiltag i 
produktionen</t>
  </si>
  <si>
    <t xml:space="preserve">Netto-
udledninger</t>
  </si>
  <si>
    <t>Transport</t>
  </si>
  <si>
    <t xml:space="preserve">Reduktioner hos
husholdninger</t>
  </si>
  <si>
    <t xml:space="preserve">Ikke-
energirelaterede
udledninger</t>
  </si>
  <si>
    <t xml:space="preserve">Øvrige
tiltag i
produktionen</t>
  </si>
  <si>
    <t xml:space="preserve">Opvarmning
hos
husholdninger</t>
  </si>
  <si>
    <t>70 pct.</t>
  </si>
  <si>
    <t>Udledninger I 2030</t>
  </si>
  <si>
    <t>Drivhusgasafgift (kr. per ton CO2e)</t>
  </si>
  <si>
    <t>Reduktioner på dansk teritorrium (mio. tons CO2e)</t>
  </si>
  <si>
    <t>Indkomst (ændret EV i mia. kr.)</t>
  </si>
  <si>
    <t>Priser (ændret EV i mia. kr.)</t>
  </si>
  <si>
    <t>Fritid (ændret EV i mia. kr.)</t>
  </si>
  <si>
    <t>Modelberegnet velfærdsændring (mia. kr.)</t>
  </si>
  <si>
    <t>Luftforurening (ændret EV i mia. kr.)</t>
  </si>
  <si>
    <t>Vandmiljø (ændret EV i mia. kr.)</t>
  </si>
  <si>
    <t>Velfærdsændring i alt (mia. kr.)</t>
  </si>
  <si>
    <t>Velfærdsændring i alt (pct. af BNP)</t>
  </si>
  <si>
    <t>Bruttoværditilvækst (mia. kr.)</t>
  </si>
  <si>
    <t>Bruttoværditilvækst (pct.)</t>
  </si>
  <si>
    <t>Privatforbrug (mia. kr.)</t>
  </si>
  <si>
    <t>Privatforbrug (pct.)</t>
  </si>
  <si>
    <t>Offentlige finanser (lump-sum overførsel)</t>
  </si>
  <si>
    <t>Arbejdsindkomstbeskatning (pct.-point)</t>
  </si>
  <si>
    <t>Forbrugerprisindeks</t>
  </si>
  <si>
    <t>Nominel løn</t>
  </si>
  <si>
    <t>Realløn efter skat</t>
  </si>
  <si>
    <t>Arbejdsudbud (timer)</t>
  </si>
  <si>
    <t>Virksomhedernes værdi, eksl. Nordsøen (mia. kr.)</t>
  </si>
  <si>
    <t>Virksomhedernes værdi, eksl. Nordsøen (pct.)</t>
  </si>
  <si>
    <t>Husholdningernes formue (mia. kr.)</t>
  </si>
  <si>
    <t>Husholdningernes formue (pct.)</t>
  </si>
  <si>
    <t>Disponibel indkomst fra lønindkomst (mia. kr.)</t>
  </si>
  <si>
    <t>Disponibel indkomst fra overførsler (mia. kr.)</t>
  </si>
  <si>
    <t>Disponibel indkomst fra kapitalafkast (mia. kr.)</t>
  </si>
  <si>
    <t>Betalingsbalancens løbende poster (mia. kr.)</t>
  </si>
  <si>
    <t>Eksport (mia. kr.)</t>
  </si>
  <si>
    <t>Eksport i faste priser (mia. kr.)</t>
  </si>
  <si>
    <t>Import (mia. kr.)</t>
  </si>
  <si>
    <t>Offentlige finanser (ændringer i mia. kr.)</t>
  </si>
  <si>
    <t>&lt;-</t>
  </si>
  <si>
    <t>Opdateret?</t>
  </si>
  <si>
    <t>tjek</t>
  </si>
  <si>
    <t>Andel af energiforbrug, der er bio</t>
  </si>
  <si>
    <t>CCS på energiforbrug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</si>
</sst>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0.0"/>
    <numFmt numFmtId="166" formatCode="_-* #,##0_-;\-* #,##0_-;_-* &quot;-&quot;??_-;_-@_-"/>
    <numFmt numFmtId="167" formatCode="#,##0.0"/>
    <numFmt numFmtId="168" formatCode="0.0%"/>
  </numFmts>
  <fonts count="8">
    <font>
      <sz val="11"/>
      <color theme="1"/>
      <name val="Calibri"/>
      <family val="2"/>
      <scheme val="minor"/>
    </font>
    <font>
      <sz val="8.5"/>
      <name val="Arial"/>
      <family val="2"/>
    </font>
    <font>
      <sz val="8.5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Verdana"/>
      <family val="2"/>
    </font>
    <font>
      <sz val="8"/>
      <color rgb="FF000000"/>
      <name val="Verdana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5D61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5D6163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164" fontId="3" fillId="0" borderId="0"/>
    <xf numFmtId="164" fontId="3" fillId="0" borderId="0"/>
    <xf numFmtId="9" fontId="3" fillId="0" borderId="0"/>
  </cellStyleXfs>
  <cellXfs count="107">
    <xf numFmtId="0" applyNumberFormat="1" fontId="0" applyFont="1" fillId="0" applyFill="1" borderId="0" applyBorder="1" xfId="0"/>
    <xf numFmtId="164" applyNumberFormat="1" fontId="3" applyFont="1" fillId="0" applyFill="1" borderId="0" applyBorder="1" xfId="1"/>
    <xf numFmtId="164" applyNumberFormat="1" fontId="3" applyFont="1" fillId="0" applyFill="1" borderId="0" applyBorder="1" xfId="2"/>
    <xf numFmtId="9" applyNumberFormat="1" fontId="3" applyFont="1" fillId="0" applyFill="1" borderId="0" applyBorder="1" xfId="3"/>
    <xf numFmtId="0" applyNumberFormat="1" fontId="1" applyFont="1" fillId="2" applyFill="1" borderId="0" applyBorder="1" xfId="0">
      <alignment vertical="center"/>
    </xf>
    <xf numFmtId="165" applyNumberFormat="1" fontId="1" applyFont="1" fillId="2" applyFill="1" borderId="0" applyBorder="1" xfId="0">
      <alignment vertical="center"/>
    </xf>
    <xf numFmtId="0" applyNumberFormat="1" fontId="1" applyFont="1" fillId="2" applyFill="1" borderId="1" applyBorder="1" xfId="0">
      <alignment vertical="center"/>
    </xf>
    <xf numFmtId="165" applyNumberFormat="1" fontId="1" applyFont="1" fillId="2" applyFill="1" borderId="1" applyBorder="1" xfId="0">
      <alignment vertical="center"/>
    </xf>
    <xf numFmtId="0" applyNumberFormat="1" fontId="1" applyFont="1" fillId="2" applyFill="1" borderId="2" applyBorder="1" xfId="0">
      <alignment vertical="center"/>
    </xf>
    <xf numFmtId="165" applyNumberFormat="1" fontId="1" applyFont="1" fillId="2" applyFill="1" borderId="2" applyBorder="1" xfId="0">
      <alignment vertical="center"/>
    </xf>
    <xf numFmtId="165" applyNumberFormat="1" fontId="1" applyFont="1" fillId="2" applyFill="1" borderId="2" applyBorder="1" xfId="0">
      <alignment horizontal="right" vertical="center"/>
    </xf>
    <xf numFmtId="3" applyNumberFormat="1" fontId="1" applyFont="1" fillId="2" applyFill="1" borderId="0" applyBorder="1" xfId="0">
      <alignment vertical="center"/>
    </xf>
    <xf numFmtId="3" applyNumberFormat="1" fontId="0" applyFont="1" fillId="0" applyFill="1" borderId="0" applyBorder="1" xfId="0"/>
    <xf numFmtId="3" applyNumberFormat="1" fontId="1" applyFont="1" fillId="2" applyFill="1" borderId="2" applyBorder="1" xfId="0">
      <alignment vertical="center"/>
    </xf>
    <xf numFmtId="3" applyNumberFormat="1" fontId="1" applyFont="1" fillId="2" applyFill="1" borderId="2" applyBorder="1" xfId="0">
      <alignment horizontal="right" vertical="center"/>
    </xf>
    <xf numFmtId="3" applyNumberFormat="1" fontId="1" applyFont="1" fillId="2" applyFill="1" borderId="0" applyBorder="1" xfId="0">
      <alignment horizontal="right" vertical="center"/>
    </xf>
    <xf numFmtId="3" applyNumberFormat="1" fontId="1" applyFont="1" fillId="2" applyFill="1" borderId="1" applyBorder="1" xfId="0">
      <alignment vertical="center"/>
    </xf>
    <xf numFmtId="3" applyNumberFormat="1" fontId="1" applyFont="1" fillId="2" applyFill="1" borderId="0" applyBorder="1" xfId="0" quotePrefix="1">
      <alignment horizontal="center" vertical="center"/>
    </xf>
    <xf numFmtId="3" applyNumberFormat="1" fontId="0" applyFont="1" fillId="0" applyFill="1" borderId="0" applyBorder="1" xfId="0">
      <alignment vertical="center"/>
    </xf>
    <xf numFmtId="3" applyNumberFormat="1" fontId="1" applyFont="1" fillId="2" applyFill="1" borderId="1" applyBorder="1" xfId="0">
      <alignment horizontal="right" vertical="center"/>
    </xf>
    <xf numFmtId="3" applyNumberFormat="1" fontId="1" applyFont="1" fillId="2" applyFill="1" borderId="0" applyBorder="1" xfId="0">
      <alignment horizontal="center" vertical="center"/>
    </xf>
    <xf numFmtId="3" applyNumberFormat="1" fontId="1" applyFont="1" fillId="2" applyFill="1" borderId="4" applyBorder="1" xfId="0" quotePrefix="1">
      <alignment horizontal="center" vertical="center"/>
    </xf>
    <xf numFmtId="0" applyNumberFormat="1" fontId="2" applyFont="1" fillId="2" applyFill="1" borderId="0" applyBorder="1" xfId="0">
      <alignment vertical="center"/>
    </xf>
    <xf numFmtId="0" applyNumberFormat="1" fontId="2" applyFont="1" fillId="2" applyFill="1" borderId="0" applyBorder="1" xfId="0">
      <alignment horizontal="right" vertical="center"/>
    </xf>
    <xf numFmtId="0" applyNumberFormat="1" fontId="2" applyFont="1" fillId="2" applyFill="1" borderId="4" applyBorder="1" xfId="0">
      <alignment vertical="center"/>
    </xf>
    <xf numFmtId="0" applyNumberFormat="1" fontId="2" applyFont="1" fillId="2" applyFill="1" borderId="4" applyBorder="1" xfId="0">
      <alignment horizontal="right" vertical="center"/>
    </xf>
    <xf numFmtId="0" applyNumberFormat="1" fontId="2" applyFont="1" fillId="2" applyFill="1" borderId="2" applyBorder="1" xfId="0">
      <alignment vertical="center"/>
    </xf>
    <xf numFmtId="0" applyNumberFormat="1" fontId="2" applyFont="1" fillId="2" applyFill="1" borderId="2" applyBorder="1" xfId="0">
      <alignment horizontal="right" vertical="center"/>
    </xf>
    <xf numFmtId="166" applyNumberFormat="1" fontId="2" applyFont="1" fillId="2" applyFill="1" borderId="4" applyBorder="1" xfId="1">
      <alignment horizontal="right" vertical="center"/>
    </xf>
    <xf numFmtId="166" applyNumberFormat="1" fontId="2" applyFont="1" fillId="2" applyFill="1" borderId="0" applyBorder="1" xfId="1">
      <alignment horizontal="right" vertical="center"/>
    </xf>
    <xf numFmtId="166" applyNumberFormat="1" fontId="2" applyFont="1" fillId="2" applyFill="1" borderId="2" applyBorder="1" xfId="1">
      <alignment horizontal="right" vertical="center"/>
    </xf>
    <xf numFmtId="3" applyNumberFormat="1" fontId="1" applyFont="1" fillId="2" applyFill="1" borderId="0" applyBorder="1" xfId="0" quotePrefix="1">
      <alignment horizontal="center" vertical="center"/>
    </xf>
    <xf numFmtId="3" applyNumberFormat="1" fontId="1" applyFont="1" fillId="2" applyFill="1" borderId="4" applyBorder="1" xfId="0" quotePrefix="1">
      <alignment horizontal="center" vertical="center"/>
    </xf>
    <xf numFmtId="3" applyNumberFormat="1" fontId="1" applyFont="1" fillId="2" applyFill="1" borderId="2" applyBorder="1" xfId="0" quotePrefix="1">
      <alignment horizontal="right" vertical="center"/>
    </xf>
    <xf numFmtId="3" applyNumberFormat="1" fontId="1" applyFont="1" fillId="2" applyFill="1" borderId="0" applyBorder="1" xfId="0" quotePrefix="1">
      <alignment horizontal="center" vertical="center"/>
    </xf>
    <xf numFmtId="165" applyNumberFormat="1" fontId="1" applyFont="1" fillId="2" applyFill="1" borderId="0" applyBorder="1" xfId="0">
      <alignment horizontal="right" vertical="center"/>
    </xf>
    <xf numFmtId="3" applyNumberFormat="1" fontId="1" applyFont="1" fillId="2" applyFill="1" borderId="0" applyBorder="1" xfId="0" quotePrefix="1">
      <alignment horizontal="center" vertical="center"/>
    </xf>
    <xf numFmtId="0" applyNumberFormat="1" fontId="1" applyFont="1" fillId="2" applyFill="1" borderId="4" applyBorder="1" xfId="0">
      <alignment vertical="center"/>
    </xf>
    <xf numFmtId="165" applyNumberFormat="1" fontId="1" applyFont="1" fillId="2" applyFill="1" borderId="4" applyBorder="1" xfId="0">
      <alignment vertical="center"/>
    </xf>
    <xf numFmtId="165" applyNumberFormat="1" fontId="1" applyFont="1" fillId="2" applyFill="1" borderId="3" applyBorder="1" xfId="0" quotePrefix="1">
      <alignment vertical="center"/>
    </xf>
    <xf numFmtId="3" applyNumberFormat="1" fontId="1" applyFont="1" fillId="2" applyFill="1" borderId="4" applyBorder="1" xfId="0">
      <alignment vertical="center"/>
    </xf>
    <xf numFmtId="3" applyNumberFormat="1" fontId="1" applyFont="1" fillId="2" applyFill="1" borderId="0" applyBorder="1" xfId="0">
      <alignment vertical="center"/>
    </xf>
    <xf numFmtId="3" applyNumberFormat="1" fontId="1" applyFont="1" fillId="2" applyFill="1" borderId="0" applyBorder="1" xfId="0">
      <alignment horizontal="right" vertical="center"/>
    </xf>
    <xf numFmtId="167" applyNumberFormat="1" fontId="1" applyFont="1" fillId="2" applyFill="1" borderId="0" applyBorder="1" xfId="0">
      <alignment horizontal="right" vertical="center"/>
    </xf>
    <xf numFmtId="168" applyNumberFormat="1" fontId="1" applyFont="1" fillId="2" applyFill="1" borderId="0" applyBorder="1" xfId="3">
      <alignment horizontal="right" vertical="center"/>
    </xf>
    <xf numFmtId="168" applyNumberFormat="1" fontId="0" applyFont="1" fillId="0" applyFill="1" borderId="0" applyBorder="1" xfId="3"/>
    <xf numFmtId="167" applyNumberFormat="1" fontId="1" applyFont="1" fillId="2" applyFill="1" borderId="2" applyBorder="1" xfId="0">
      <alignment horizontal="right" vertical="center"/>
    </xf>
    <xf numFmtId="3" applyNumberFormat="1" fontId="1" applyFont="1" fillId="2" applyFill="1" borderId="5" applyBorder="1" xfId="0">
      <alignment vertical="center"/>
    </xf>
    <xf numFmtId="3" applyNumberFormat="1" fontId="1" applyFont="1" fillId="2" applyFill="1" borderId="0" applyBorder="1" xfId="0">
      <alignment horizontal="left" vertical="center"/>
    </xf>
    <xf numFmtId="3" applyNumberFormat="1" fontId="1" applyFont="1" fillId="2" applyFill="1" borderId="2" applyBorder="1" xfId="0">
      <alignment horizontal="left" vertical="center"/>
    </xf>
    <xf numFmtId="167" applyNumberFormat="1" fontId="0" applyFont="1" fillId="0" applyFill="1" borderId="0" applyBorder="1" xfId="0"/>
    <xf numFmtId="167" applyNumberFormat="1" fontId="1" applyFont="1" fillId="2" applyFill="1" borderId="5" applyBorder="1" xfId="0">
      <alignment horizontal="right" vertical="center"/>
    </xf>
    <xf numFmtId="168" applyNumberFormat="1" fontId="1" applyFont="1" fillId="2" applyFill="1" borderId="2" applyBorder="1" xfId="3">
      <alignment horizontal="right" vertical="center"/>
    </xf>
    <xf numFmtId="3" applyNumberFormat="1" fontId="1" applyFont="1" fillId="2" applyFill="1" borderId="6" applyBorder="1" xfId="0">
      <alignment horizontal="right" vertical="center"/>
    </xf>
    <xf numFmtId="3" applyNumberFormat="1" fontId="1" applyFont="1" fillId="2" applyFill="1" borderId="7" applyBorder="1" xfId="0">
      <alignment horizontal="right" vertical="center"/>
    </xf>
    <xf numFmtId="167" applyNumberFormat="1" fontId="1" applyFont="1" fillId="2" applyFill="1" borderId="8" applyBorder="1" xfId="0">
      <alignment horizontal="right" vertical="center"/>
    </xf>
    <xf numFmtId="167" applyNumberFormat="1" fontId="1" applyFont="1" fillId="2" applyFill="1" borderId="6" applyBorder="1" xfId="0">
      <alignment horizontal="right" vertical="center"/>
    </xf>
    <xf numFmtId="167" applyNumberFormat="1" fontId="1" applyFont="1" fillId="2" applyFill="1" borderId="7" applyBorder="1" xfId="0">
      <alignment horizontal="right" vertical="center"/>
    </xf>
    <xf numFmtId="168" applyNumberFormat="1" fontId="3" applyFont="1" fillId="0" applyFill="1" borderId="0" applyBorder="1" xfId="3"/>
    <xf numFmtId="168" applyNumberFormat="1" fontId="0" applyFont="1" fillId="0" applyFill="1" borderId="0" applyBorder="1" xfId="0"/>
    <xf numFmtId="10" applyNumberFormat="1" fontId="3" applyFont="1" fillId="0" applyFill="1" borderId="0" applyBorder="1" xfId="3"/>
    <xf numFmtId="3" applyNumberFormat="1" fontId="1" applyFont="1" fillId="2" applyFill="1" borderId="2" applyBorder="1" xfId="0">
      <alignment vertical="center" wrapText="1"/>
    </xf>
    <xf numFmtId="167" applyNumberFormat="1" fontId="1" applyFont="1" fillId="2" applyFill="1" borderId="0" applyBorder="1" xfId="0">
      <alignment horizontal="right"/>
    </xf>
    <xf numFmtId="3" applyNumberFormat="1" fontId="1" applyFont="1" fillId="2" applyFill="1" borderId="0" applyBorder="1" xfId="0">
      <alignment wrapText="1"/>
    </xf>
    <xf numFmtId="167" applyNumberFormat="1" fontId="1" applyFont="1" fillId="2" applyFill="1" borderId="2" applyBorder="1" xfId="0">
      <alignment horizontal="right"/>
    </xf>
    <xf numFmtId="3" applyNumberFormat="1" fontId="1" applyFont="1" fillId="2" applyFill="1" borderId="0" applyBorder="1" xfId="0" quotePrefix="1">
      <alignment horizontal="right" wrapText="1"/>
    </xf>
    <xf numFmtId="3" applyNumberFormat="1" fontId="1" applyFont="1" fillId="2" applyFill="1" borderId="0" applyBorder="1" xfId="0" quotePrefix="1">
      <alignment horizontal="right"/>
    </xf>
    <xf numFmtId="3" applyNumberFormat="1" fontId="1" applyFont="1" fillId="2" applyFill="1" borderId="2" applyBorder="1" xfId="0" quotePrefix="1">
      <alignment horizontal="right"/>
    </xf>
    <xf numFmtId="3" applyNumberFormat="1" fontId="1" applyFont="1" fillId="2" applyFill="1" borderId="2" applyBorder="1" xfId="0" quotePrefix="1">
      <alignment horizontal="right" wrapText="1"/>
    </xf>
    <xf numFmtId="3" applyNumberFormat="1" fontId="1" applyFont="1" fillId="0" applyFill="1" borderId="0" applyBorder="1" xfId="0">
      <alignment horizontal="right" vertical="center"/>
    </xf>
    <xf numFmtId="167" applyNumberFormat="1" fontId="1" applyFont="1" fillId="0" applyFill="1" borderId="0" applyBorder="1" xfId="0">
      <alignment horizontal="right" vertical="center"/>
    </xf>
    <xf numFmtId="166" applyNumberFormat="1" fontId="0" applyFont="1" fillId="0" applyFill="1" borderId="0" applyBorder="1" xfId="0"/>
    <xf numFmtId="3" applyNumberFormat="1" fontId="2" applyFont="1" fillId="2" applyFill="1" borderId="0" applyBorder="1" xfId="0">
      <alignment vertical="center"/>
    </xf>
    <xf numFmtId="3" applyNumberFormat="1" fontId="2" applyFont="1" fillId="2" applyFill="1" borderId="2" applyBorder="1" xfId="0">
      <alignment vertical="center"/>
    </xf>
    <xf numFmtId="0" applyNumberFormat="1" fontId="0" applyFont="1" fillId="0" applyFill="1" borderId="0" applyBorder="1" xfId="0"/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wrapText="1"/>
    </xf>
    <xf numFmtId="3" applyNumberFormat="1" fontId="0" applyFont="1" fillId="3" applyFill="1" borderId="0" applyBorder="1" xfId="0"/>
    <xf numFmtId="3" applyNumberFormat="1" fontId="0" applyFont="1" fillId="0" applyFill="1" borderId="0" applyBorder="1" xfId="0"/>
    <xf numFmtId="3" applyNumberFormat="1" fontId="0" applyFont="1" fillId="0" applyFill="1" borderId="0" applyBorder="1" xfId="0"/>
    <xf numFmtId="3" applyNumberFormat="1" fontId="0" applyFont="1" fillId="4" applyFill="1" borderId="0" applyBorder="1" xfId="0"/>
    <xf numFmtId="0" applyNumberFormat="1" fontId="0" applyFont="1" fillId="0" applyFill="1" borderId="0" applyBorder="1" xfId="0">
      <alignment wrapText="1"/>
    </xf>
    <xf numFmtId="0" applyNumberFormat="1" fontId="0" applyFont="1" fillId="0" applyFill="1" borderId="0" applyBorder="1" xfId="0"/>
    <xf numFmtId="3" applyNumberFormat="1" fontId="4" applyFont="1" fillId="0" applyFill="1" borderId="0" applyBorder="1" xfId="0">
      <alignment horizontal="center" vertical="center"/>
    </xf>
    <xf numFmtId="3" applyNumberFormat="1" fontId="5" applyFont="1" fillId="0" applyFill="1" borderId="0" applyBorder="1" xfId="0"/>
    <xf numFmtId="1" applyNumberFormat="1" fontId="0" applyFont="1" fillId="0" applyFill="1" borderId="0" applyBorder="1" xfId="0"/>
    <xf numFmtId="0" applyNumberFormat="1" fontId="4" applyFont="1" fillId="0" applyFill="1" borderId="0" applyBorder="1" xfId="0">
      <alignment horizontal="center" vertical="center"/>
    </xf>
    <xf numFmtId="4" applyNumberFormat="1" fontId="0" applyFont="1" fillId="0" applyFill="1" borderId="0" applyBorder="1" xfId="0"/>
    <xf numFmtId="0" applyNumberFormat="1" fontId="6" applyFont="1" fillId="0" applyFill="1" borderId="0" applyBorder="1" xfId="0"/>
    <xf numFmtId="0" applyNumberFormat="1" fontId="7" applyFont="1" fillId="0" applyFill="1" borderId="0" applyBorder="1" xfId="0">
      <alignment vertical="center"/>
    </xf>
    <xf numFmtId="9" applyNumberFormat="1" fontId="7" applyFont="1" fillId="0" applyFill="1" borderId="0" applyBorder="1" xfId="0">
      <alignment horizontal="right" vertical="center"/>
    </xf>
    <xf numFmtId="9" applyNumberFormat="1" fontId="1" applyFont="1" fillId="2" applyFill="1" borderId="0" applyBorder="1" xfId="3">
      <alignment vertical="center"/>
    </xf>
    <xf numFmtId="165" applyNumberFormat="1" fontId="1" applyFont="1" fillId="2" applyFill="1" borderId="3" applyBorder="1" xfId="0" quotePrefix="1">
      <alignment horizontal="center" vertical="center"/>
    </xf>
    <xf numFmtId="165" applyNumberFormat="1" fontId="1" applyFont="1" fillId="2" applyFill="1" borderId="0" applyBorder="1" xfId="0">
      <alignment horizontal="center" vertical="center"/>
    </xf>
    <xf numFmtId="165" applyNumberFormat="1" fontId="1" applyFont="1" fillId="2" applyFill="1" borderId="1" applyBorder="1" xfId="0">
      <alignment horizontal="center" vertical="center"/>
    </xf>
    <xf numFmtId="3" applyNumberFormat="1" fontId="1" applyFont="1" fillId="2" applyFill="1" borderId="4" applyBorder="1" xfId="0" quotePrefix="1">
      <alignment horizontal="center" vertical="center"/>
    </xf>
    <xf numFmtId="3" applyNumberFormat="1" fontId="1" applyFont="1" fillId="2" applyFill="1" borderId="4" applyBorder="1" xfId="0">
      <alignment horizontal="center" vertical="center"/>
    </xf>
    <xf numFmtId="3" applyNumberFormat="1" fontId="1" applyFont="1" fillId="2" applyFill="1" borderId="0" applyBorder="1" xfId="0">
      <alignment horizontal="center" vertical="center"/>
    </xf>
    <xf numFmtId="3" applyNumberFormat="1" fontId="1" applyFont="1" fillId="2" applyFill="1" borderId="3" applyBorder="1" xfId="0" quotePrefix="1">
      <alignment horizontal="center" vertical="center"/>
    </xf>
    <xf numFmtId="3" applyNumberFormat="1" fontId="1" applyFont="1" fillId="2" applyFill="1" borderId="1" applyBorder="1" xfId="0">
      <alignment horizontal="center" vertical="center"/>
    </xf>
    <xf numFmtId="3" applyNumberFormat="1" fontId="2" applyFont="1" fillId="2" applyFill="1" borderId="0" applyBorder="1" xfId="0">
      <alignment horizontal="center" vertical="center"/>
    </xf>
    <xf numFmtId="3" applyNumberFormat="1" fontId="2" applyFont="1" fillId="2" applyFill="1" borderId="1" applyBorder="1" xfId="0">
      <alignment horizontal="center" vertical="center"/>
    </xf>
    <xf numFmtId="3" applyNumberFormat="1" fontId="1" applyFont="1" fillId="2" applyFill="1" borderId="3" applyBorder="1" xfId="0">
      <alignment horizontal="center" vertical="center"/>
    </xf>
    <xf numFmtId="3" applyNumberFormat="1" fontId="1" applyFont="1" fillId="2" applyFill="1" borderId="2" applyBorder="1" xfId="0">
      <alignment horizontal="center" vertical="center"/>
    </xf>
    <xf numFmtId="3" applyNumberFormat="1" fontId="1" applyFont="1" fillId="2" applyFill="1" borderId="0" applyBorder="1" xfId="0" quotePrefix="1">
      <alignment horizontal="center" vertical="center"/>
    </xf>
    <xf numFmtId="3" applyNumberFormat="1" fontId="1" applyFont="1" fillId="2" applyFill="1" borderId="0" applyBorder="1" xfId="0">
      <alignment horizontal="left" wrapText="1"/>
    </xf>
    <xf numFmtId="3" applyNumberFormat="1" fontId="1" applyFont="1" fillId="2" applyFill="1" borderId="2" applyBorder="1" xfId="0">
      <alignment horizontal="left" wrapText="1"/>
    </xf>
  </cellXfs>
  <cellStyles count="4">
    <cellStyle name="Komma" xfId="1" builtinId="3"/>
    <cellStyle name="Komma 2" xfId="2"/>
    <cellStyle name="Normal" xfId="0" builtinId="0"/>
    <cellStyle name="Procent" xfId="3" builtinId="5"/>
  </cellStyles>
  <dxfs count="0"/>
  <tableStyles count="0" defaultTableStyle="TableStyleMedium2" defaultPivotStyle="PivotStyleLight16"/>
  <colors>
    <mruColors>
      <color rgb="FFD0CD8D"/>
      <color rgb="FFAAA631"/>
      <color rgb="FFD35462"/>
      <color rgb="FFC10B20"/>
      <color rgb="FF5C6062"/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3.xml"/></Relationships>
</file>

<file path=xl/charts/_rels/chart3.xml.rels><?xml version="1.0" encoding="UTF-8" standalone="yes"?><Relationships xmlns="http://schemas.openxmlformats.org/package/2006/relationships"><Relationship Id="rId3" Type="http://schemas.microsoft.com/office/2011/relationships/chartStyle" Target="style3.xml"/><Relationship Id="rId2" Type="http://schemas.microsoft.com/office/2011/relationships/chartColorStyle" Target="colors3.xml"/><Relationship Id="rId1" Type="http://schemas.openxmlformats.org/officeDocument/2006/relationships/chartUserShapes" Target="../drawings/drawing4.xml"/></Relationships>
</file>

<file path=xl/charts/_rels/chart4.xml.rels><?xml version="1.0" encoding="UTF-8" standalone="yes"?>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922263989836616E-2"/>
          <c:y val="8.1916063522362734E-2"/>
          <c:w val="0.94885607951636997"/>
          <c:h val="0.743264243484715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Vandfald!$E$3</c:f>
              <c:strCache>
                <c:ptCount val="1"/>
                <c:pt idx="0">
                  <c:v>Snyd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Vandfald!$E$4:$E$13</c:f>
              <c:numCache>
                <c:formatCode>#,##0</c:formatCode>
                <c:ptCount val="10"/>
                <c:pt idx="1">
                  <c:v>35421.206313124814</c:v>
                </c:pt>
                <c:pt idx="2">
                  <c:v>35179.542659389765</c:v>
                </c:pt>
                <c:pt idx="3">
                  <c:v>35137.87373299733</c:v>
                </c:pt>
                <c:pt idx="4">
                  <c:v>33804.869532298442</c:v>
                </c:pt>
                <c:pt idx="5">
                  <c:v>33210.900544384021</c:v>
                </c:pt>
                <c:pt idx="6">
                  <c:v>33211.303222387731</c:v>
                </c:pt>
                <c:pt idx="8">
                  <c:v>33209.063437233264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37-4A61-BF2C-49F45C35659A}"/>
            </c:ext>
          </c:extLst>
        </c:ser>
        <c:ser>
          <c:idx val="15"/>
          <c:order val="1"/>
          <c:tx>
            <c:strRef>
              <c:f>Vandfald!$F$3</c:f>
              <c:strCache>
                <c:ptCount val="1"/>
                <c:pt idx="0">
                  <c:v>LULUCF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Vandfald!$F$4:$F$13</c:f>
              <c:numCache>
                <c:formatCode>#,##0</c:formatCode>
                <c:ptCount val="10"/>
                <c:pt idx="0">
                  <c:v>5286.5151780347696</c:v>
                </c:pt>
                <c:pt idx="7">
                  <c:v>5286.5151780347696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2537-4A61-BF2C-49F45C35659A}"/>
            </c:ext>
          </c:extLst>
        </c:ser>
        <c:ser>
          <c:idx val="1"/>
          <c:order val="2"/>
          <c:tx>
            <c:strRef>
              <c:f>Vandfald!$G$3</c:f>
              <c:strCache>
                <c:ptCount val="1"/>
                <c:pt idx="0">
                  <c:v>Landbrug</c:v>
                </c:pt>
              </c:strCache>
            </c:strRef>
          </c:tx>
          <c:spPr>
            <a:solidFill>
              <a:srgbClr val="AAA63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Vandfald!$G$4:$G$13</c:f>
              <c:numCache>
                <c:formatCode>#,##0</c:formatCode>
                <c:ptCount val="10"/>
                <c:pt idx="0">
                  <c:v>11466.161204642565</c:v>
                </c:pt>
                <c:pt idx="1">
                  <c:v>3676.2414949468971</c:v>
                </c:pt>
                <c:pt idx="2">
                  <c:v>245.02795305159123</c:v>
                </c:pt>
                <c:pt idx="3">
                  <c:v>34.617809109871459</c:v>
                </c:pt>
                <c:pt idx="4">
                  <c:v>1332.8500582302122</c:v>
                </c:pt>
                <c:pt idx="5">
                  <c:v>584.13469463317995</c:v>
                </c:pt>
                <c:pt idx="7">
                  <c:v>5593.2891946708132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537-4A61-BF2C-49F45C35659A}"/>
            </c:ext>
          </c:extLst>
        </c:ser>
        <c:ser>
          <c:idx val="2"/>
          <c:order val="3"/>
          <c:tx>
            <c:strRef>
              <c:f>Vandfald!$H$3</c:f>
              <c:strCache>
                <c:ptCount val="1"/>
                <c:pt idx="0">
                  <c:v>Øvrige virksomheder</c:v>
                </c:pt>
              </c:strCache>
            </c:strRef>
          </c:tx>
          <c:spPr>
            <a:solidFill>
              <a:srgbClr val="7D808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EDEDED"/>
              </a:solidFill>
              <a:ln>
                <a:solidFill>
                  <a:sysClr val="windowText" lastClr="000000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537-4A61-BF2C-49F45C35659A}"/>
              </c:ext>
            </c:extLst>
          </c:dPt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Vandfald!$H$4:$H$13</c:f>
              <c:numCache>
                <c:formatCode>#,##0</c:formatCode>
                <c:ptCount val="10"/>
                <c:pt idx="0">
                  <c:v>15971.579615625389</c:v>
                </c:pt>
                <c:pt idx="1">
                  <c:v>17.105102245098351</c:v>
                </c:pt>
                <c:pt idx="2">
                  <c:v>-3.3642993165416897</c:v>
                </c:pt>
                <c:pt idx="3">
                  <c:v>-1.2858132085835763</c:v>
                </c:pt>
                <c:pt idx="4">
                  <c:v>9.7728024559891324E-2</c:v>
                </c:pt>
                <c:pt idx="5">
                  <c:v>9.8342932812385015</c:v>
                </c:pt>
                <c:pt idx="7">
                  <c:v>15949.136190155506</c:v>
                </c:pt>
                <c:pt idx="9">
                  <c:v>33209.063437233264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537-4A61-BF2C-49F45C35659A}"/>
            </c:ext>
          </c:extLst>
        </c:ser>
        <c:ser>
          <c:idx val="3"/>
          <c:order val="4"/>
          <c:tx>
            <c:strRef>
              <c:f>Vandfald!$I$3</c:f>
              <c:strCache>
                <c:ptCount val="1"/>
                <c:pt idx="0">
                  <c:v>Husholdninger</c:v>
                </c:pt>
              </c:strCache>
            </c:strRef>
          </c:tx>
          <c:spPr>
            <a:solidFill>
              <a:srgbClr val="A6A8A9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Vandfald!$I$4:$I$13</c:f>
              <c:numCache>
                <c:formatCode>#,##0</c:formatCode>
                <c:ptCount val="10"/>
                <c:pt idx="0">
                  <c:v>6390.2969120140833</c:v>
                </c:pt>
                <c:pt idx="3">
                  <c:v>8.33693049114936</c:v>
                </c:pt>
                <c:pt idx="6">
                  <c:v>-0.40267800370844498</c:v>
                </c:pt>
                <c:pt idx="7">
                  <c:v>6382.3626595266423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2537-4A61-BF2C-49F45C35659A}"/>
            </c:ext>
          </c:extLst>
        </c:ser>
        <c:ser>
          <c:idx val="4"/>
          <c:order val="5"/>
          <c:tx>
            <c:strRef>
              <c:f>Vandfald!$J$3</c:f>
              <c:strCache>
                <c:ptCount val="1"/>
                <c:pt idx="0">
                  <c:v>CCS/BECCS</c:v>
                </c:pt>
              </c:strCache>
            </c:strRef>
          </c:tx>
          <c:spPr>
            <a:solidFill>
              <a:srgbClr val="C72336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Vandfald!$J$4:$J$13</c:f>
              <c:numCache>
                <c:formatCode>#,##0</c:formatCode>
                <c:ptCount val="10"/>
                <c:pt idx="4">
                  <c:v>5.6414444115099271E-2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537-4A61-BF2C-49F45C35659A}"/>
            </c:ext>
          </c:extLst>
        </c:ser>
        <c:ser>
          <c:idx val="5"/>
          <c:order val="6"/>
          <c:tx>
            <c:strRef>
              <c:f>Vandfald!$K$3</c:f>
              <c:strCache>
                <c:ptCount val="1"/>
                <c:pt idx="0">
                  <c:v>CCS/BECCS</c:v>
                </c:pt>
              </c:strCache>
            </c:strRef>
          </c:tx>
          <c:spPr>
            <a:solidFill>
              <a:srgbClr val="D3546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Vandfald!$K$4:$K$13</c:f>
              <c:numCache>
                <c:formatCode>#,##0</c:formatCode>
                <c:ptCount val="10"/>
                <c:pt idx="8">
                  <c:v>2.2397851544646983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2537-4A61-BF2C-49F45C356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788160"/>
        <c:axId val="171789696"/>
      </c:barChart>
      <c:lineChart>
        <c:grouping val="standard"/>
        <c:varyColors val="0"/>
        <c:ser>
          <c:idx val="6"/>
          <c:order val="7"/>
          <c:tx>
            <c:strRef>
              <c:f>Vandfald!$L$3</c:f>
              <c:strCache>
                <c:ptCount val="1"/>
                <c:pt idx="0">
                  <c:v>Linje1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Vandfald!$L$4:$L$13</c:f>
              <c:numCache>
                <c:formatCode>#,##0</c:formatCode>
                <c:ptCount val="10"/>
                <c:pt idx="0">
                  <c:v>39114.552910316808</c:v>
                </c:pt>
                <c:pt idx="1">
                  <c:v>39114.552910316808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2537-4A61-BF2C-49F45C35659A}"/>
            </c:ext>
          </c:extLst>
        </c:ser>
        <c:ser>
          <c:idx val="7"/>
          <c:order val="8"/>
          <c:tx>
            <c:strRef>
              <c:f>Vandfald!$M$3</c:f>
              <c:strCache>
                <c:ptCount val="1"/>
                <c:pt idx="0">
                  <c:v>Linje2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Vandfald!$M$4:$M$13</c:f>
              <c:numCache>
                <c:formatCode>#,##0</c:formatCode>
                <c:ptCount val="10"/>
                <c:pt idx="1">
                  <c:v>35421.206313124814</c:v>
                </c:pt>
                <c:pt idx="2">
                  <c:v>35421.206313124814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2537-4A61-BF2C-49F45C35659A}"/>
            </c:ext>
          </c:extLst>
        </c:ser>
        <c:ser>
          <c:idx val="8"/>
          <c:order val="9"/>
          <c:tx>
            <c:strRef>
              <c:f>Vandfald!$N$3</c:f>
              <c:strCache>
                <c:ptCount val="1"/>
                <c:pt idx="0">
                  <c:v>Linje3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Vandfald!$N$4:$N$13</c:f>
              <c:numCache>
                <c:formatCode>General</c:formatCode>
                <c:ptCount val="10"/>
                <c:pt idx="2" formatCode="#,##0">
                  <c:v>35179.542659389765</c:v>
                </c:pt>
                <c:pt idx="3" formatCode="#,##0">
                  <c:v>35179.542659389765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2537-4A61-BF2C-49F45C35659A}"/>
            </c:ext>
          </c:extLst>
        </c:ser>
        <c:ser>
          <c:idx val="9"/>
          <c:order val="10"/>
          <c:tx>
            <c:strRef>
              <c:f>Vandfald!$O$3</c:f>
              <c:strCache>
                <c:ptCount val="1"/>
                <c:pt idx="0">
                  <c:v>Linje4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Vandfald!$O$4:$O$13</c:f>
              <c:numCache>
                <c:formatCode>General</c:formatCode>
                <c:ptCount val="10"/>
                <c:pt idx="3" formatCode="#,##0">
                  <c:v>35137.87373299733</c:v>
                </c:pt>
                <c:pt idx="4" formatCode="#,##0">
                  <c:v>35137.87373299733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2537-4A61-BF2C-49F45C35659A}"/>
            </c:ext>
          </c:extLst>
        </c:ser>
        <c:ser>
          <c:idx val="10"/>
          <c:order val="11"/>
          <c:tx>
            <c:strRef>
              <c:f>Vandfald!$P$3</c:f>
              <c:strCache>
                <c:ptCount val="1"/>
                <c:pt idx="0">
                  <c:v>Linje5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Vandfald!$P$4:$P$13</c:f>
              <c:numCache>
                <c:formatCode>General</c:formatCode>
                <c:ptCount val="10"/>
                <c:pt idx="4" formatCode="#,##0">
                  <c:v>33804.869532298442</c:v>
                </c:pt>
                <c:pt idx="5" formatCode="#,##0">
                  <c:v>33804.869532298442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2537-4A61-BF2C-49F45C35659A}"/>
            </c:ext>
          </c:extLst>
        </c:ser>
        <c:ser>
          <c:idx val="11"/>
          <c:order val="12"/>
          <c:tx>
            <c:strRef>
              <c:f>Vandfald!$Q$3</c:f>
              <c:strCache>
                <c:ptCount val="1"/>
                <c:pt idx="0">
                  <c:v>Linje6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Vandfald!$Q$4:$Q$13</c:f>
              <c:numCache>
                <c:formatCode>General</c:formatCode>
                <c:ptCount val="10"/>
                <c:pt idx="5" formatCode="#,##0">
                  <c:v>33210.900544384021</c:v>
                </c:pt>
                <c:pt idx="6" formatCode="#,##0">
                  <c:v>33210.900544384021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2537-4A61-BF2C-49F45C35659A}"/>
            </c:ext>
          </c:extLst>
        </c:ser>
        <c:ser>
          <c:idx val="12"/>
          <c:order val="13"/>
          <c:tx>
            <c:strRef>
              <c:f>Vandfald!$R$3</c:f>
              <c:strCache>
                <c:ptCount val="1"/>
                <c:pt idx="0">
                  <c:v>Linje7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Vandfald!$R$4:$R$13</c:f>
              <c:numCache>
                <c:formatCode>General</c:formatCode>
                <c:ptCount val="10"/>
                <c:pt idx="6" formatCode="#,##0">
                  <c:v>33211.303222387731</c:v>
                </c:pt>
                <c:pt idx="7" formatCode="#,##0">
                  <c:v>33211.303222387731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2537-4A61-BF2C-49F45C35659A}"/>
            </c:ext>
          </c:extLst>
        </c:ser>
        <c:ser>
          <c:idx val="13"/>
          <c:order val="14"/>
          <c:tx>
            <c:strRef>
              <c:f>Vandfald!$S$3</c:f>
              <c:strCache>
                <c:ptCount val="1"/>
                <c:pt idx="0">
                  <c:v>Linje8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Vandfald!$S$4:$S$13</c:f>
              <c:numCache>
                <c:formatCode>General</c:formatCode>
                <c:ptCount val="10"/>
                <c:pt idx="7" formatCode="#,##0">
                  <c:v>33211.303222387731</c:v>
                </c:pt>
                <c:pt idx="8" formatCode="#,##0">
                  <c:v>33211.303222387731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2537-4A61-BF2C-49F45C35659A}"/>
            </c:ext>
          </c:extLst>
        </c:ser>
        <c:ser>
          <c:idx val="14"/>
          <c:order val="15"/>
          <c:tx>
            <c:strRef>
              <c:f>Vandfald!$T$3</c:f>
              <c:strCache>
                <c:ptCount val="1"/>
                <c:pt idx="0">
                  <c:v>Linje9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Vandfald!$B$4:$B$13</c:f>
              <c:strCache>
                <c:ptCount val="10"/>
                <c:pt idx="0">
                  <c:v>Frozen
policy</c:v>
                </c:pt>
                <c:pt idx="1">
                  <c:v>Mindsket
produktion</c:v>
                </c:pt>
                <c:pt idx="2">
                  <c:v>Proces- og
rumvarme</c:v>
                </c:pt>
                <c:pt idx="3">
                  <c:v>Transport</c:v>
                </c:pt>
                <c:pt idx="4">
                  <c:v>Ikke-
energirelaterede
udledninger</c:v>
                </c:pt>
                <c:pt idx="5">
                  <c:v>Øvrige
tiltag i
produktionen</c:v>
                </c:pt>
                <c:pt idx="6">
                  <c:v>Opvarmning
hos
husholdninger</c:v>
                </c:pt>
                <c:pt idx="7">
                  <c:v>Brutto-
udledninger</c:v>
                </c:pt>
                <c:pt idx="8">
                  <c:v>Negative
udledninger</c:v>
                </c:pt>
                <c:pt idx="9">
                  <c:v>Netto-
udledninger</c:v>
                </c:pt>
              </c:strCache>
            </c:strRef>
          </c:cat>
          <c:val>
            <c:numRef>
              <c:f>Vandfald!$T$4:$T$13</c:f>
              <c:numCache>
                <c:formatCode>General</c:formatCode>
                <c:ptCount val="10"/>
                <c:pt idx="8" formatCode="#,##0">
                  <c:v>33209.063437233264</c:v>
                </c:pt>
                <c:pt idx="9" formatCode="#,##0">
                  <c:v>33209.063437233264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2537-4A61-BF2C-49F45C356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788160"/>
        <c:axId val="171789696"/>
      </c:lineChart>
      <c:catAx>
        <c:axId val="17178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da-DK"/>
          </a:p>
        </c:txPr>
        <c:crossAx val="171789696"/>
        <c:crosses val="autoZero"/>
        <c:auto val="1"/>
        <c:lblAlgn val="ctr"/>
        <c:lblOffset val="100"/>
        <c:tickLblSkip val="1"/>
        <c:noMultiLvlLbl val="0"/>
      </c:catAx>
      <c:valAx>
        <c:axId val="1717896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71788160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18126127490538005"/>
          <c:y val="0.43742983642196237"/>
          <c:w val="0.13556948957328438"/>
          <c:h val="0.226674089981176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EDEDED"/>
    </a:solidFill>
    <a:ln w="9525" cap="flat" cmpd="sng" algn="ctr">
      <a:noFill/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Verdana" panose="020B0604030504040204" pitchFamily="34" charset="0"/>
          <a:ea typeface="Verdana" panose="020B0604030504040204" pitchFamily="34" charset="0"/>
        </a:defRPr>
      </a:pPr>
      <a:endParaRPr lang="da-DK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734314157947543E-2"/>
          <c:y val="1.653150246565609E-2"/>
          <c:w val="0.95804403375560221"/>
          <c:h val="0.776472614698930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Vandfald!$Y$3</c:f>
              <c:strCache>
                <c:ptCount val="1"/>
                <c:pt idx="0">
                  <c:v>Snyd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Vandfald!$V$4:$V$10</c:f>
              <c:strCache>
                <c:ptCount val="7"/>
                <c:pt idx="0">
                  <c:v>Grund-
scenarie</c:v>
                </c:pt>
                <c:pt idx="1">
                  <c:v>Ændret
erhvervsstruktur</c:v>
                </c:pt>
                <c:pt idx="2">
                  <c:v>Tiltag i 
produktionen</c:v>
                </c:pt>
                <c:pt idx="3">
                  <c:v>Reduktioner hos
husholdninger</c:v>
                </c:pt>
                <c:pt idx="4">
                  <c:v>Brutto-
udledninger</c:v>
                </c:pt>
                <c:pt idx="5">
                  <c:v>Negative
udledninger</c:v>
                </c:pt>
                <c:pt idx="6">
                  <c:v>Netto-
udledninger</c:v>
                </c:pt>
              </c:strCache>
            </c:strRef>
          </c:cat>
          <c:val>
            <c:numRef>
              <c:f>Vandfald!$Y$4:$Y$10</c:f>
              <c:numCache>
                <c:formatCode>#,##0</c:formatCode>
                <c:ptCount val="7"/>
                <c:pt idx="1">
                  <c:v>35421.206313124814</c:v>
                </c:pt>
                <c:pt idx="2">
                  <c:v>33219.237474875168</c:v>
                </c:pt>
                <c:pt idx="3">
                  <c:v>33211.303222387731</c:v>
                </c:pt>
                <c:pt idx="5">
                  <c:v>33209.063437233264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106-41FC-8166-62CFB0459DC4}"/>
            </c:ext>
          </c:extLst>
        </c:ser>
        <c:ser>
          <c:idx val="12"/>
          <c:order val="1"/>
          <c:tx>
            <c:strRef>
              <c:f>Vandfald!$Z$3</c:f>
              <c:strCache>
                <c:ptCount val="1"/>
                <c:pt idx="0">
                  <c:v>LULUCF</c:v>
                </c:pt>
              </c:strCache>
            </c:strRef>
          </c:tx>
          <c:spPr>
            <a:solidFill>
              <a:srgbClr val="AAA631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Vandfald!$Z$4:$Z$10</c:f>
              <c:numCache>
                <c:formatCode>#,##0</c:formatCode>
                <c:ptCount val="7"/>
                <c:pt idx="0">
                  <c:v>5286.5151780347696</c:v>
                </c:pt>
                <c:pt idx="4">
                  <c:v>5286.5151780347696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A106-41FC-8166-62CFB0459DC4}"/>
            </c:ext>
          </c:extLst>
        </c:ser>
        <c:ser>
          <c:idx val="1"/>
          <c:order val="2"/>
          <c:tx>
            <c:strRef>
              <c:f>Vandfald!$AA$3</c:f>
              <c:strCache>
                <c:ptCount val="1"/>
                <c:pt idx="0">
                  <c:v>Landbrug</c:v>
                </c:pt>
              </c:strCache>
            </c:strRef>
          </c:tx>
          <c:spPr>
            <a:solidFill>
              <a:srgbClr val="D0CD8D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Vandfald!$V$4:$V$10</c:f>
              <c:strCache>
                <c:ptCount val="7"/>
                <c:pt idx="0">
                  <c:v>Grund-
scenarie</c:v>
                </c:pt>
                <c:pt idx="1">
                  <c:v>Ændret
erhvervsstruktur</c:v>
                </c:pt>
                <c:pt idx="2">
                  <c:v>Tiltag i 
produktionen</c:v>
                </c:pt>
                <c:pt idx="3">
                  <c:v>Reduktioner hos
husholdninger</c:v>
                </c:pt>
                <c:pt idx="4">
                  <c:v>Brutto-
udledninger</c:v>
                </c:pt>
                <c:pt idx="5">
                  <c:v>Negative
udledninger</c:v>
                </c:pt>
                <c:pt idx="6">
                  <c:v>Netto-
udledninger</c:v>
                </c:pt>
              </c:strCache>
            </c:strRef>
          </c:cat>
          <c:val>
            <c:numRef>
              <c:f>Vandfald!$AA$4:$AA$10</c:f>
              <c:numCache>
                <c:formatCode>#,##0</c:formatCode>
                <c:ptCount val="7"/>
                <c:pt idx="0">
                  <c:v>11466.161204642565</c:v>
                </c:pt>
                <c:pt idx="1">
                  <c:v>3676.2414949468971</c:v>
                </c:pt>
                <c:pt idx="2">
                  <c:v>2196.630515024855</c:v>
                </c:pt>
                <c:pt idx="4">
                  <c:v>5593.2891946708132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106-41FC-8166-62CFB0459DC4}"/>
            </c:ext>
          </c:extLst>
        </c:ser>
        <c:ser>
          <c:idx val="2"/>
          <c:order val="3"/>
          <c:tx>
            <c:strRef>
              <c:f>Vandfald!$AB$3</c:f>
              <c:strCache>
                <c:ptCount val="1"/>
                <c:pt idx="0">
                  <c:v>Øvrige virksomheder</c:v>
                </c:pt>
              </c:strCache>
            </c:strRef>
          </c:tx>
          <c:spPr>
            <a:solidFill>
              <a:srgbClr val="7D808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Pt>
            <c:idx val="6"/>
            <c:invertIfNegative val="0"/>
            <c:bubble3D val="0"/>
            <c:spPr>
              <a:noFill/>
              <a:ln>
                <a:solidFill>
                  <a:sysClr val="windowText" lastClr="000000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06-41FC-8166-62CFB0459DC4}"/>
              </c:ext>
            </c:extLst>
          </c:dPt>
          <c:cat>
            <c:strRef>
              <c:f>Vandfald!$V$4:$V$10</c:f>
              <c:strCache>
                <c:ptCount val="7"/>
                <c:pt idx="0">
                  <c:v>Grund-
scenarie</c:v>
                </c:pt>
                <c:pt idx="1">
                  <c:v>Ændret
erhvervsstruktur</c:v>
                </c:pt>
                <c:pt idx="2">
                  <c:v>Tiltag i 
produktionen</c:v>
                </c:pt>
                <c:pt idx="3">
                  <c:v>Reduktioner hos
husholdninger</c:v>
                </c:pt>
                <c:pt idx="4">
                  <c:v>Brutto-
udledninger</c:v>
                </c:pt>
                <c:pt idx="5">
                  <c:v>Negative
udledninger</c:v>
                </c:pt>
                <c:pt idx="6">
                  <c:v>Netto-
udledninger</c:v>
                </c:pt>
              </c:strCache>
            </c:strRef>
          </c:cat>
          <c:val>
            <c:numRef>
              <c:f>Vandfald!$AB$4:$AB$10</c:f>
              <c:numCache>
                <c:formatCode>#,##0</c:formatCode>
                <c:ptCount val="7"/>
                <c:pt idx="0">
                  <c:v>15971.579615625389</c:v>
                </c:pt>
                <c:pt idx="1">
                  <c:v>17.105102245098351</c:v>
                </c:pt>
                <c:pt idx="2">
                  <c:v>5.2819087806731266</c:v>
                </c:pt>
                <c:pt idx="4">
                  <c:v>15949.136190155506</c:v>
                </c:pt>
                <c:pt idx="6">
                  <c:v>33209.063437233264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06-41FC-8166-62CFB0459DC4}"/>
            </c:ext>
          </c:extLst>
        </c:ser>
        <c:ser>
          <c:idx val="3"/>
          <c:order val="4"/>
          <c:tx>
            <c:strRef>
              <c:f>Vandfald!$AC$3</c:f>
              <c:strCache>
                <c:ptCount val="1"/>
                <c:pt idx="0">
                  <c:v>Husholdninger</c:v>
                </c:pt>
              </c:strCache>
            </c:strRef>
          </c:tx>
          <c:spPr>
            <a:solidFill>
              <a:srgbClr val="A6A8A9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Vandfald!$V$4:$V$10</c:f>
              <c:strCache>
                <c:ptCount val="7"/>
                <c:pt idx="0">
                  <c:v>Grund-
scenarie</c:v>
                </c:pt>
                <c:pt idx="1">
                  <c:v>Ændret
erhvervsstruktur</c:v>
                </c:pt>
                <c:pt idx="2">
                  <c:v>Tiltag i 
produktionen</c:v>
                </c:pt>
                <c:pt idx="3">
                  <c:v>Reduktioner hos
husholdninger</c:v>
                </c:pt>
                <c:pt idx="4">
                  <c:v>Brutto-
udledninger</c:v>
                </c:pt>
                <c:pt idx="5">
                  <c:v>Negative
udledninger</c:v>
                </c:pt>
                <c:pt idx="6">
                  <c:v>Netto-
udledninger</c:v>
                </c:pt>
              </c:strCache>
            </c:strRef>
          </c:cat>
          <c:val>
            <c:numRef>
              <c:f>Vandfald!$AC$4:$AC$10</c:f>
              <c:numCache>
                <c:formatCode>#,##0</c:formatCode>
                <c:ptCount val="7"/>
                <c:pt idx="0">
                  <c:v>6390.2969120140833</c:v>
                </c:pt>
                <c:pt idx="3">
                  <c:v>7.934252487440915</c:v>
                </c:pt>
                <c:pt idx="4">
                  <c:v>6382.3626595266423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A106-41FC-8166-62CFB0459DC4}"/>
            </c:ext>
          </c:extLst>
        </c:ser>
        <c:ser>
          <c:idx val="4"/>
          <c:order val="5"/>
          <c:tx>
            <c:strRef>
              <c:f>Vandfald!$AD$3</c:f>
              <c:strCache>
                <c:ptCount val="1"/>
                <c:pt idx="0">
                  <c:v>CCS/BECCS</c:v>
                </c:pt>
              </c:strCache>
            </c:strRef>
          </c:tx>
          <c:spPr>
            <a:solidFill>
              <a:srgbClr val="C72336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Vandfald!$V$4:$V$10</c:f>
              <c:strCache>
                <c:ptCount val="7"/>
                <c:pt idx="0">
                  <c:v>Grund-
scenarie</c:v>
                </c:pt>
                <c:pt idx="1">
                  <c:v>Ændret
erhvervsstruktur</c:v>
                </c:pt>
                <c:pt idx="2">
                  <c:v>Tiltag i 
produktionen</c:v>
                </c:pt>
                <c:pt idx="3">
                  <c:v>Reduktioner hos
husholdninger</c:v>
                </c:pt>
                <c:pt idx="4">
                  <c:v>Brutto-
udledninger</c:v>
                </c:pt>
                <c:pt idx="5">
                  <c:v>Negative
udledninger</c:v>
                </c:pt>
                <c:pt idx="6">
                  <c:v>Netto-
udledninger</c:v>
                </c:pt>
              </c:strCache>
            </c:strRef>
          </c:cat>
          <c:val>
            <c:numRef>
              <c:f>Vandfald!$AD$4:$AD$10</c:f>
              <c:numCache>
                <c:formatCode>#,##0</c:formatCode>
                <c:ptCount val="7"/>
                <c:pt idx="2">
                  <c:v>5.6414444115099271E-2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106-41FC-8166-62CFB0459DC4}"/>
            </c:ext>
          </c:extLst>
        </c:ser>
        <c:ser>
          <c:idx val="5"/>
          <c:order val="6"/>
          <c:tx>
            <c:strRef>
              <c:f>Vandfald!$AE$3</c:f>
              <c:strCache>
                <c:ptCount val="1"/>
                <c:pt idx="0">
                  <c:v>CCS/BECCS</c:v>
                </c:pt>
              </c:strCache>
            </c:strRef>
          </c:tx>
          <c:spPr>
            <a:solidFill>
              <a:srgbClr val="C72336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Vandfald!$V$4:$V$10</c:f>
              <c:strCache>
                <c:ptCount val="7"/>
                <c:pt idx="0">
                  <c:v>Grund-
scenarie</c:v>
                </c:pt>
                <c:pt idx="1">
                  <c:v>Ændret
erhvervsstruktur</c:v>
                </c:pt>
                <c:pt idx="2">
                  <c:v>Tiltag i 
produktionen</c:v>
                </c:pt>
                <c:pt idx="3">
                  <c:v>Reduktioner hos
husholdninger</c:v>
                </c:pt>
                <c:pt idx="4">
                  <c:v>Brutto-
udledninger</c:v>
                </c:pt>
                <c:pt idx="5">
                  <c:v>Negative
udledninger</c:v>
                </c:pt>
                <c:pt idx="6">
                  <c:v>Netto-
udledninger</c:v>
                </c:pt>
              </c:strCache>
            </c:strRef>
          </c:cat>
          <c:val>
            <c:numRef>
              <c:f>Vandfald!$AE$4:$AE$10</c:f>
              <c:numCache>
                <c:formatCode>#,##0</c:formatCode>
                <c:ptCount val="7"/>
                <c:pt idx="5">
                  <c:v>2.2397851544646983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A106-41FC-8166-62CFB0459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76193536"/>
        <c:axId val="176195072"/>
      </c:barChart>
      <c:lineChart>
        <c:grouping val="standard"/>
        <c:varyColors val="0"/>
        <c:ser>
          <c:idx val="6"/>
          <c:order val="7"/>
          <c:tx>
            <c:strRef>
              <c:f>Vandfald!$AF$3</c:f>
              <c:strCache>
                <c:ptCount val="1"/>
                <c:pt idx="0">
                  <c:v>Linje1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Vandfald!$V$4:$V$10</c:f>
              <c:strCache>
                <c:ptCount val="7"/>
                <c:pt idx="0">
                  <c:v>Grund-
scenarie</c:v>
                </c:pt>
                <c:pt idx="1">
                  <c:v>Ændret
erhvervsstruktur</c:v>
                </c:pt>
                <c:pt idx="2">
                  <c:v>Tiltag i 
produktionen</c:v>
                </c:pt>
                <c:pt idx="3">
                  <c:v>Reduktioner hos
husholdninger</c:v>
                </c:pt>
                <c:pt idx="4">
                  <c:v>Brutto-
udledninger</c:v>
                </c:pt>
                <c:pt idx="5">
                  <c:v>Negative
udledninger</c:v>
                </c:pt>
                <c:pt idx="6">
                  <c:v>Netto-
udledninger</c:v>
                </c:pt>
              </c:strCache>
            </c:strRef>
          </c:cat>
          <c:val>
            <c:numRef>
              <c:f>Vandfald!$AF$4:$AF$10</c:f>
              <c:numCache>
                <c:formatCode>#,##0</c:formatCode>
                <c:ptCount val="7"/>
                <c:pt idx="0">
                  <c:v>39114.552910316808</c:v>
                </c:pt>
                <c:pt idx="1">
                  <c:v>39114.552910316808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A106-41FC-8166-62CFB0459DC4}"/>
            </c:ext>
          </c:extLst>
        </c:ser>
        <c:ser>
          <c:idx val="7"/>
          <c:order val="8"/>
          <c:tx>
            <c:strRef>
              <c:f>Vandfald!$AG$3</c:f>
              <c:strCache>
                <c:ptCount val="1"/>
                <c:pt idx="0">
                  <c:v>Linje2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Vandfald!$V$4:$V$10</c:f>
              <c:strCache>
                <c:ptCount val="7"/>
                <c:pt idx="0">
                  <c:v>Grund-
scenarie</c:v>
                </c:pt>
                <c:pt idx="1">
                  <c:v>Ændret
erhvervsstruktur</c:v>
                </c:pt>
                <c:pt idx="2">
                  <c:v>Tiltag i 
produktionen</c:v>
                </c:pt>
                <c:pt idx="3">
                  <c:v>Reduktioner hos
husholdninger</c:v>
                </c:pt>
                <c:pt idx="4">
                  <c:v>Brutto-
udledninger</c:v>
                </c:pt>
                <c:pt idx="5">
                  <c:v>Negative
udledninger</c:v>
                </c:pt>
                <c:pt idx="6">
                  <c:v>Netto-
udledninger</c:v>
                </c:pt>
              </c:strCache>
            </c:strRef>
          </c:cat>
          <c:val>
            <c:numRef>
              <c:f>Vandfald!$AG$4:$AG$10</c:f>
              <c:numCache>
                <c:formatCode>#,##0</c:formatCode>
                <c:ptCount val="7"/>
                <c:pt idx="1">
                  <c:v>35421.206313124814</c:v>
                </c:pt>
                <c:pt idx="2">
                  <c:v>35421.206313124814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A106-41FC-8166-62CFB0459DC4}"/>
            </c:ext>
          </c:extLst>
        </c:ser>
        <c:ser>
          <c:idx val="8"/>
          <c:order val="9"/>
          <c:tx>
            <c:strRef>
              <c:f>Vandfald!$AH$3</c:f>
              <c:strCache>
                <c:ptCount val="1"/>
                <c:pt idx="0">
                  <c:v>Linje3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Vandfald!$V$4:$V$10</c:f>
              <c:strCache>
                <c:ptCount val="7"/>
                <c:pt idx="0">
                  <c:v>Grund-
scenarie</c:v>
                </c:pt>
                <c:pt idx="1">
                  <c:v>Ændret
erhvervsstruktur</c:v>
                </c:pt>
                <c:pt idx="2">
                  <c:v>Tiltag i 
produktionen</c:v>
                </c:pt>
                <c:pt idx="3">
                  <c:v>Reduktioner hos
husholdninger</c:v>
                </c:pt>
                <c:pt idx="4">
                  <c:v>Brutto-
udledninger</c:v>
                </c:pt>
                <c:pt idx="5">
                  <c:v>Negative
udledninger</c:v>
                </c:pt>
                <c:pt idx="6">
                  <c:v>Netto-
udledninger</c:v>
                </c:pt>
              </c:strCache>
            </c:strRef>
          </c:cat>
          <c:val>
            <c:numRef>
              <c:f>Vandfald!$AH$4:$AH$10</c:f>
              <c:numCache>
                <c:formatCode>General</c:formatCode>
                <c:ptCount val="7"/>
                <c:pt idx="2" formatCode="#,##0">
                  <c:v>33219.237474875168</c:v>
                </c:pt>
                <c:pt idx="3" formatCode="#,##0">
                  <c:v>33219.237474875168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A106-41FC-8166-62CFB0459DC4}"/>
            </c:ext>
          </c:extLst>
        </c:ser>
        <c:ser>
          <c:idx val="9"/>
          <c:order val="10"/>
          <c:tx>
            <c:strRef>
              <c:f>Vandfald!$AI$3</c:f>
              <c:strCache>
                <c:ptCount val="1"/>
                <c:pt idx="0">
                  <c:v>Linje4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Vandfald!$V$4:$V$10</c:f>
              <c:strCache>
                <c:ptCount val="7"/>
                <c:pt idx="0">
                  <c:v>Grund-
scenarie</c:v>
                </c:pt>
                <c:pt idx="1">
                  <c:v>Ændret
erhvervsstruktur</c:v>
                </c:pt>
                <c:pt idx="2">
                  <c:v>Tiltag i 
produktionen</c:v>
                </c:pt>
                <c:pt idx="3">
                  <c:v>Reduktioner hos
husholdninger</c:v>
                </c:pt>
                <c:pt idx="4">
                  <c:v>Brutto-
udledninger</c:v>
                </c:pt>
                <c:pt idx="5">
                  <c:v>Negative
udledninger</c:v>
                </c:pt>
                <c:pt idx="6">
                  <c:v>Netto-
udledninger</c:v>
                </c:pt>
              </c:strCache>
            </c:strRef>
          </c:cat>
          <c:val>
            <c:numRef>
              <c:f>Vandfald!$AI$4:$AI$10</c:f>
              <c:numCache>
                <c:formatCode>General</c:formatCode>
                <c:ptCount val="7"/>
                <c:pt idx="3" formatCode="#,##0">
                  <c:v>33211.303222387731</c:v>
                </c:pt>
                <c:pt idx="4" formatCode="#,##0">
                  <c:v>33211.303222387731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A106-41FC-8166-62CFB0459DC4}"/>
            </c:ext>
          </c:extLst>
        </c:ser>
        <c:ser>
          <c:idx val="10"/>
          <c:order val="11"/>
          <c:tx>
            <c:strRef>
              <c:f>Vandfald!$AJ$3</c:f>
              <c:strCache>
                <c:ptCount val="1"/>
                <c:pt idx="0">
                  <c:v>Linje5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Vandfald!$V$4:$V$10</c:f>
              <c:strCache>
                <c:ptCount val="7"/>
                <c:pt idx="0">
                  <c:v>Grund-
scenarie</c:v>
                </c:pt>
                <c:pt idx="1">
                  <c:v>Ændret
erhvervsstruktur</c:v>
                </c:pt>
                <c:pt idx="2">
                  <c:v>Tiltag i 
produktionen</c:v>
                </c:pt>
                <c:pt idx="3">
                  <c:v>Reduktioner hos
husholdninger</c:v>
                </c:pt>
                <c:pt idx="4">
                  <c:v>Brutto-
udledninger</c:v>
                </c:pt>
                <c:pt idx="5">
                  <c:v>Negative
udledninger</c:v>
                </c:pt>
                <c:pt idx="6">
                  <c:v>Netto-
udledninger</c:v>
                </c:pt>
              </c:strCache>
            </c:strRef>
          </c:cat>
          <c:val>
            <c:numRef>
              <c:f>Vandfald!$AJ$4:$AJ$10</c:f>
              <c:numCache>
                <c:formatCode>General</c:formatCode>
                <c:ptCount val="7"/>
                <c:pt idx="4" formatCode="#,##0">
                  <c:v>33211.303222387731</c:v>
                </c:pt>
                <c:pt idx="5" formatCode="#,##0">
                  <c:v>33211.303222387731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A106-41FC-8166-62CFB0459DC4}"/>
            </c:ext>
          </c:extLst>
        </c:ser>
        <c:ser>
          <c:idx val="11"/>
          <c:order val="12"/>
          <c:tx>
            <c:strRef>
              <c:f>Vandfald!$AK$3</c:f>
              <c:strCache>
                <c:ptCount val="1"/>
                <c:pt idx="0">
                  <c:v>Linje6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Vandfald!$V$4:$V$10</c:f>
              <c:strCache>
                <c:ptCount val="7"/>
                <c:pt idx="0">
                  <c:v>Grund-
scenarie</c:v>
                </c:pt>
                <c:pt idx="1">
                  <c:v>Ændret
erhvervsstruktur</c:v>
                </c:pt>
                <c:pt idx="2">
                  <c:v>Tiltag i 
produktionen</c:v>
                </c:pt>
                <c:pt idx="3">
                  <c:v>Reduktioner hos
husholdninger</c:v>
                </c:pt>
                <c:pt idx="4">
                  <c:v>Brutto-
udledninger</c:v>
                </c:pt>
                <c:pt idx="5">
                  <c:v>Negative
udledninger</c:v>
                </c:pt>
                <c:pt idx="6">
                  <c:v>Netto-
udledninger</c:v>
                </c:pt>
              </c:strCache>
            </c:strRef>
          </c:cat>
          <c:val>
            <c:numRef>
              <c:f>Vandfald!$AK$4:$AK$10</c:f>
              <c:numCache>
                <c:formatCode>General</c:formatCode>
                <c:ptCount val="7"/>
                <c:pt idx="5" formatCode="#,##0">
                  <c:v>33209.063437233264</c:v>
                </c:pt>
                <c:pt idx="6" formatCode="#,##0">
                  <c:v>33209.063437233264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A106-41FC-8166-62CFB0459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93536"/>
        <c:axId val="176195072"/>
      </c:lineChart>
      <c:catAx>
        <c:axId val="1761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0"/>
          <a:lstStyle/>
          <a:p>
            <a:pPr>
              <a:defRPr/>
            </a:pPr>
            <a:endParaRPr lang="da-DK"/>
          </a:p>
        </c:txPr>
        <c:crossAx val="176195072"/>
        <c:crosses val="autoZero"/>
        <c:auto val="1"/>
        <c:lblAlgn val="ctr"/>
        <c:lblOffset val="100"/>
        <c:tickLblSkip val="1"/>
        <c:noMultiLvlLbl val="0"/>
      </c:catAx>
      <c:valAx>
        <c:axId val="1761950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76193536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16835542101716153"/>
          <c:y val="0.44019979638638618"/>
          <c:w val="0.17810269849237934"/>
          <c:h val="0.27402224717307705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da-DK"/>
        </a:p>
      </c:txPr>
    </c:legend>
    <c:plotVisOnly val="1"/>
    <c:dispBlanksAs val="gap"/>
    <c:showDLblsOverMax val="0"/>
  </c:chart>
  <c:spPr>
    <a:solidFill>
      <a:srgbClr val="EDEDED"/>
    </a:solidFill>
    <a:ln w="9525" cap="flat" cmpd="sng" algn="ctr">
      <a:noFill/>
      <a:round/>
    </a:ln>
    <a:effectLst/>
  </c:spPr>
  <c:txPr>
    <a:bodyPr/>
    <a:lstStyle/>
    <a:p>
      <a:pPr>
        <a:defRPr sz="2000">
          <a:solidFill>
            <a:sysClr val="windowText" lastClr="000000"/>
          </a:solidFill>
          <a:latin typeface="Arial" panose="020B0604020202020204" pitchFamily="34" charset="0"/>
          <a:ea typeface="Verdana" panose="020B0604030504040204" pitchFamily="34" charset="0"/>
          <a:cs typeface="Arial" panose="020B0604020202020204" pitchFamily="34" charset="0"/>
        </a:defRPr>
      </a:pPr>
      <a:endParaRPr lang="da-DK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734314157947543E-2"/>
          <c:y val="8.1916063522362734E-2"/>
          <c:w val="0.95804403375560221"/>
          <c:h val="0.718979100608272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Vandfald!$AQ$3</c:f>
              <c:strCache>
                <c:ptCount val="1"/>
                <c:pt idx="0">
                  <c:v>Snyd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Vandfald!$AQ$4:$AQ$12</c:f>
              <c:numCache>
                <c:formatCode>#,##0</c:formatCode>
                <c:ptCount val="9"/>
                <c:pt idx="1">
                  <c:v>38414.552910316808</c:v>
                </c:pt>
                <c:pt idx="3">
                  <c:v>34721.206313124814</c:v>
                </c:pt>
                <c:pt idx="4">
                  <c:v>32519.237474875172</c:v>
                </c:pt>
                <c:pt idx="5">
                  <c:v>32511.303222387731</c:v>
                </c:pt>
                <c:pt idx="7">
                  <c:v>32509.063437233264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ACA-46DC-85A9-6F6CE72DD8B8}"/>
            </c:ext>
          </c:extLst>
        </c:ser>
        <c:ser>
          <c:idx val="1"/>
          <c:order val="1"/>
          <c:tx>
            <c:strRef>
              <c:f>Vandfald!$AR$3</c:f>
              <c:strCache>
                <c:ptCount val="1"/>
                <c:pt idx="0">
                  <c:v>Landbrug</c:v>
                </c:pt>
              </c:strCache>
            </c:strRef>
          </c:tx>
          <c:spPr>
            <a:solidFill>
              <a:srgbClr val="AAA63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Vandfald!$AR$4:$AR$12</c:f>
              <c:numCache>
                <c:formatCode>General</c:formatCode>
                <c:ptCount val="9"/>
                <c:pt idx="0" formatCode="#,##0">
                  <c:v>11000</c:v>
                </c:pt>
                <c:pt idx="3" formatCode="#,##0">
                  <c:v>3676.2414949468971</c:v>
                </c:pt>
                <c:pt idx="4" formatCode="#,##0">
                  <c:v>2196.630515024855</c:v>
                </c:pt>
                <c:pt idx="6" formatCode="#,##0">
                  <c:v>5127.127990028248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ACA-46DC-85A9-6F6CE72DD8B8}"/>
            </c:ext>
          </c:extLst>
        </c:ser>
        <c:ser>
          <c:idx val="2"/>
          <c:order val="2"/>
          <c:tx>
            <c:strRef>
              <c:f>Vandfald!$AS$3</c:f>
              <c:strCache>
                <c:ptCount val="1"/>
                <c:pt idx="0">
                  <c:v>Øvrige virksomheder</c:v>
                </c:pt>
              </c:strCache>
            </c:strRef>
          </c:tx>
          <c:spPr>
            <a:solidFill>
              <a:srgbClr val="7D808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Pt>
            <c:idx val="2"/>
            <c:invertIfNegative val="0"/>
            <c:bubble3D val="0"/>
            <c:spPr>
              <a:noFill/>
              <a:ln>
                <a:solidFill>
                  <a:sysClr val="windowText" lastClr="000000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ACA-46DC-85A9-6F6CE72DD8B8}"/>
              </c:ext>
            </c:extLst>
          </c:dPt>
          <c:dPt>
            <c:idx val="8"/>
            <c:invertIfNegative val="0"/>
            <c:bubble3D val="0"/>
            <c:spPr>
              <a:noFill/>
              <a:ln>
                <a:solidFill>
                  <a:sysClr val="windowText" lastClr="000000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ACA-46DC-85A9-6F6CE72DD8B8}"/>
              </c:ext>
            </c:extLst>
          </c:dPt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Vandfald!$AS$4:$AS$12</c:f>
              <c:numCache>
                <c:formatCode>#,##0</c:formatCode>
                <c:ptCount val="9"/>
                <c:pt idx="0">
                  <c:v>19914.552910316808</c:v>
                </c:pt>
                <c:pt idx="2">
                  <c:v>38414.552910316808</c:v>
                </c:pt>
                <c:pt idx="3">
                  <c:v>17.105102245098351</c:v>
                </c:pt>
                <c:pt idx="4">
                  <c:v>5.281908780673283</c:v>
                </c:pt>
                <c:pt idx="6">
                  <c:v>19192.109484846926</c:v>
                </c:pt>
                <c:pt idx="8">
                  <c:v>32509.063437233264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ACA-46DC-85A9-6F6CE72DD8B8}"/>
            </c:ext>
          </c:extLst>
        </c:ser>
        <c:ser>
          <c:idx val="3"/>
          <c:order val="3"/>
          <c:tx>
            <c:strRef>
              <c:f>Vandfald!$AT$3</c:f>
              <c:strCache>
                <c:ptCount val="1"/>
                <c:pt idx="0">
                  <c:v>Husholdninger</c:v>
                </c:pt>
              </c:strCache>
            </c:strRef>
          </c:tx>
          <c:spPr>
            <a:solidFill>
              <a:srgbClr val="A6A8A9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Vandfald!$AT$4:$AT$12</c:f>
              <c:numCache>
                <c:formatCode>General</c:formatCode>
                <c:ptCount val="9"/>
                <c:pt idx="0" formatCode="#,##0">
                  <c:v>8200</c:v>
                </c:pt>
                <c:pt idx="5" formatCode="#,##0">
                  <c:v>7.934252487440915</c:v>
                </c:pt>
                <c:pt idx="6" formatCode="#,##0">
                  <c:v>8192.065747512559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ACA-46DC-85A9-6F6CE72DD8B8}"/>
            </c:ext>
          </c:extLst>
        </c:ser>
        <c:ser>
          <c:idx val="4"/>
          <c:order val="4"/>
          <c:tx>
            <c:strRef>
              <c:f>Vandfald!$AU$3</c:f>
              <c:strCache>
                <c:ptCount val="1"/>
                <c:pt idx="0">
                  <c:v>CCS/BECCS</c:v>
                </c:pt>
              </c:strCache>
            </c:strRef>
          </c:tx>
          <c:spPr>
            <a:solidFill>
              <a:srgbClr val="C72336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Vandfald!$AU$4:$AU$12</c:f>
              <c:numCache>
                <c:formatCode>General</c:formatCode>
                <c:ptCount val="9"/>
                <c:pt idx="4" formatCode="#,##0">
                  <c:v>5.6414444115099271E-2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ACA-46DC-85A9-6F6CE72DD8B8}"/>
            </c:ext>
          </c:extLst>
        </c:ser>
        <c:ser>
          <c:idx val="5"/>
          <c:order val="5"/>
          <c:tx>
            <c:strRef>
              <c:f>Vandfald!$AV$3</c:f>
              <c:strCache>
                <c:ptCount val="1"/>
                <c:pt idx="0">
                  <c:v>CCS/BECCS</c:v>
                </c:pt>
              </c:strCache>
            </c:strRef>
          </c:tx>
          <c:spPr>
            <a:solidFill>
              <a:srgbClr val="D3546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Vandfald!$AV$4:$AV$12</c:f>
              <c:numCache>
                <c:formatCode>General</c:formatCode>
                <c:ptCount val="9"/>
                <c:pt idx="1">
                  <c:v>700</c:v>
                </c:pt>
                <c:pt idx="7" formatCode="#,##0">
                  <c:v>2.2397851544646983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DACA-46DC-85A9-6F6CE72DD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"/>
        <c:overlap val="100"/>
        <c:axId val="176889856"/>
        <c:axId val="176891392"/>
      </c:barChart>
      <c:lineChart>
        <c:grouping val="standard"/>
        <c:varyColors val="0"/>
        <c:ser>
          <c:idx val="6"/>
          <c:order val="6"/>
          <c:tx>
            <c:strRef>
              <c:f>Vandfald!$AW$3</c:f>
              <c:strCache>
                <c:ptCount val="1"/>
                <c:pt idx="0">
                  <c:v>Linje1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Vandfald!$AW$4:$AW$12</c:f>
              <c:numCache>
                <c:formatCode>#,##0</c:formatCode>
                <c:ptCount val="9"/>
                <c:pt idx="0">
                  <c:v>39114.552910316808</c:v>
                </c:pt>
                <c:pt idx="1">
                  <c:v>39114.552910316808</c:v>
                </c:pt>
                <c:pt idx="3">
                  <c:v>39114.552910316808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DACA-46DC-85A9-6F6CE72DD8B8}"/>
            </c:ext>
          </c:extLst>
        </c:ser>
        <c:ser>
          <c:idx val="7"/>
          <c:order val="7"/>
          <c:tx>
            <c:strRef>
              <c:f>Vandfald!$AX$3</c:f>
              <c:strCache>
                <c:ptCount val="1"/>
                <c:pt idx="0">
                  <c:v>Linje2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Vandfald!$AX$4:$AX$12</c:f>
              <c:numCache>
                <c:formatCode>#,##0</c:formatCode>
                <c:ptCount val="9"/>
                <c:pt idx="1">
                  <c:v>38414.552910316808</c:v>
                </c:pt>
                <c:pt idx="2">
                  <c:v>38414.552910316808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DACA-46DC-85A9-6F6CE72DD8B8}"/>
            </c:ext>
          </c:extLst>
        </c:ser>
        <c:ser>
          <c:idx val="8"/>
          <c:order val="8"/>
          <c:tx>
            <c:strRef>
              <c:f>Vandfald!$AY$3</c:f>
              <c:strCache>
                <c:ptCount val="1"/>
                <c:pt idx="0">
                  <c:v>Linje3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Vandfald!$AY$4:$AY$12</c:f>
              <c:numCache>
                <c:formatCode>General</c:formatCode>
                <c:ptCount val="9"/>
                <c:pt idx="2" formatCode="#,##0">
                  <c:v>38414.552910316808</c:v>
                </c:pt>
                <c:pt idx="3" formatCode="#,##0">
                  <c:v>38414.552910316808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DACA-46DC-85A9-6F6CE72DD8B8}"/>
            </c:ext>
          </c:extLst>
        </c:ser>
        <c:ser>
          <c:idx val="9"/>
          <c:order val="9"/>
          <c:tx>
            <c:strRef>
              <c:f>Vandfald!$AZ$3</c:f>
              <c:strCache>
                <c:ptCount val="1"/>
                <c:pt idx="0">
                  <c:v>Linje4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Vandfald!$AZ$4:$AZ$12</c:f>
              <c:numCache>
                <c:formatCode>General</c:formatCode>
                <c:ptCount val="9"/>
                <c:pt idx="3" formatCode="#,##0">
                  <c:v>34721.206313124814</c:v>
                </c:pt>
                <c:pt idx="4" formatCode="#,##0">
                  <c:v>34721.206313124814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DACA-46DC-85A9-6F6CE72DD8B8}"/>
            </c:ext>
          </c:extLst>
        </c:ser>
        <c:ser>
          <c:idx val="10"/>
          <c:order val="10"/>
          <c:tx>
            <c:strRef>
              <c:f>Vandfald!$BA$3</c:f>
              <c:strCache>
                <c:ptCount val="1"/>
                <c:pt idx="0">
                  <c:v>Linje5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Vandfald!$BA$4:$BA$12</c:f>
              <c:numCache>
                <c:formatCode>General</c:formatCode>
                <c:ptCount val="9"/>
                <c:pt idx="4" formatCode="#,##0">
                  <c:v>32519.237474875172</c:v>
                </c:pt>
                <c:pt idx="5" formatCode="#,##0">
                  <c:v>32519.237474875172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DACA-46DC-85A9-6F6CE72DD8B8}"/>
            </c:ext>
          </c:extLst>
        </c:ser>
        <c:ser>
          <c:idx val="11"/>
          <c:order val="11"/>
          <c:tx>
            <c:strRef>
              <c:f>Vandfald!$BB$3</c:f>
              <c:strCache>
                <c:ptCount val="1"/>
                <c:pt idx="0">
                  <c:v>Linje6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Vandfald!$BB$4:$BB$12</c:f>
              <c:numCache>
                <c:formatCode>General</c:formatCode>
                <c:ptCount val="9"/>
                <c:pt idx="5" formatCode="#,##0">
                  <c:v>32511.303222387731</c:v>
                </c:pt>
                <c:pt idx="6" formatCode="#,##0">
                  <c:v>32511.303222387731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DACA-46DC-85A9-6F6CE72DD8B8}"/>
            </c:ext>
          </c:extLst>
        </c:ser>
        <c:ser>
          <c:idx val="12"/>
          <c:order val="12"/>
          <c:tx>
            <c:strRef>
              <c:f>Vandfald!$BC$3</c:f>
              <c:strCache>
                <c:ptCount val="1"/>
                <c:pt idx="0">
                  <c:v>Linje7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Vandfald!$BC$4:$BC$12</c:f>
              <c:numCache>
                <c:formatCode>General</c:formatCode>
                <c:ptCount val="9"/>
                <c:pt idx="6" formatCode="#,##0">
                  <c:v>32511.303222387731</c:v>
                </c:pt>
                <c:pt idx="7" formatCode="#,##0">
                  <c:v>32511.303222387731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DACA-46DC-85A9-6F6CE72DD8B8}"/>
            </c:ext>
          </c:extLst>
        </c:ser>
        <c:ser>
          <c:idx val="13"/>
          <c:order val="13"/>
          <c:tx>
            <c:strRef>
              <c:f>Vandfald!$BD$3</c:f>
              <c:strCache>
                <c:ptCount val="1"/>
                <c:pt idx="0">
                  <c:v>Linje8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Vandfald!$AN$4:$AN$12</c:f>
              <c:strCache>
                <c:ptCount val="9"/>
                <c:pt idx="0">
                  <c:v>Brutto-
udledninger</c:v>
                </c:pt>
                <c:pt idx="1">
                  <c:v>Negative
udledninger</c:v>
                </c:pt>
                <c:pt idx="2">
                  <c:v>Netto-
udledninger</c:v>
                </c:pt>
                <c:pt idx="3">
                  <c:v>Mindsket
produktion</c:v>
                </c:pt>
                <c:pt idx="4">
                  <c:v>Tiltag i 
produktionen</c:v>
                </c:pt>
                <c:pt idx="5">
                  <c:v>Reduktioner hos
husholdninger</c:v>
                </c:pt>
                <c:pt idx="6">
                  <c:v>Brutto-
udledninger</c:v>
                </c:pt>
                <c:pt idx="7">
                  <c:v>Negative
udledninger</c:v>
                </c:pt>
                <c:pt idx="8">
                  <c:v>Netto-
udledninger</c:v>
                </c:pt>
              </c:strCache>
            </c:strRef>
          </c:cat>
          <c:val>
            <c:numRef>
              <c:f>Vandfald!$BD$4:$BD$12</c:f>
              <c:numCache>
                <c:formatCode>General</c:formatCode>
                <c:ptCount val="9"/>
                <c:pt idx="7" formatCode="#,##0">
                  <c:v>32509.063437233264</c:v>
                </c:pt>
                <c:pt idx="8" formatCode="#,##0">
                  <c:v>32509.063437233264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DACA-46DC-85A9-6F6CE72DD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889856"/>
        <c:axId val="176891392"/>
      </c:lineChart>
      <c:catAx>
        <c:axId val="17688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da-DK"/>
          </a:p>
        </c:txPr>
        <c:crossAx val="176891392"/>
        <c:crosses val="autoZero"/>
        <c:auto val="1"/>
        <c:lblAlgn val="ctr"/>
        <c:lblOffset val="100"/>
        <c:tickLblSkip val="1"/>
        <c:noMultiLvlLbl val="0"/>
      </c:catAx>
      <c:valAx>
        <c:axId val="17689139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76889856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legend>
      <c:legendPos val="r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76700589522207674"/>
          <c:y val="7.4840220542469846E-2"/>
          <c:w val="0.1673622055067078"/>
          <c:h val="0.198578340741665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EDEDED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Verdana" panose="020B0604030504040204" pitchFamily="34" charset="0"/>
          <a:ea typeface="Verdana" panose="020B0604030504040204" pitchFamily="34" charset="0"/>
        </a:defRPr>
      </a:pPr>
      <a:endParaRPr lang="da-DK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73292813728995E-2"/>
          <c:y val="9.2726155358898721E-2"/>
          <c:w val="0.94475598855917053"/>
          <c:h val="0.6746220501474926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FIG_sammen1!$D$1</c:f>
              <c:strCache>
                <c:ptCount val="1"/>
                <c:pt idx="0">
                  <c:v>Brancher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10B20"/>
              </a:solidFill>
              <a:ln>
                <a:solidFill>
                  <a:srgbClr val="C10B20"/>
                </a:solidFill>
              </a:ln>
            </c:spPr>
          </c:marker>
          <c:xVal>
            <c:numRef>
              <c:f>FIG_sammen1!$B$1:$B$60</c:f>
              <c:numCache>
                <c:formatCode>General</c:formatCode>
                <c:ptCount val="60"/>
                <c:pt idx="0">
                  <c:v>-6.4119156245064524</c:v>
                </c:pt>
                <c:pt idx="1">
                  <c:v>-2.8880300990546992</c:v>
                </c:pt>
                <c:pt idx="2">
                  <c:v>-3.9756852720527043</c:v>
                </c:pt>
                <c:pt idx="3">
                  <c:v>-1.109878463409288</c:v>
                </c:pt>
                <c:pt idx="4">
                  <c:v>-3.288937764106592E-2</c:v>
                </c:pt>
                <c:pt idx="5">
                  <c:v>-0.20425470707629678</c:v>
                </c:pt>
                <c:pt idx="6">
                  <c:v>-6.5921471649152963E-3</c:v>
                </c:pt>
                <c:pt idx="7">
                  <c:v>-0.27763101074929963</c:v>
                </c:pt>
                <c:pt idx="8">
                  <c:v>-0.92329945291481863</c:v>
                </c:pt>
                <c:pt idx="9">
                  <c:v>-0.17368140795225173</c:v>
                </c:pt>
                <c:pt idx="10">
                  <c:v>-3.3646964227653786E-3</c:v>
                </c:pt>
                <c:pt idx="11">
                  <c:v>0.16852597137680903</c:v>
                </c:pt>
                <c:pt idx="12">
                  <c:v>3.4454827906718499E-2</c:v>
                </c:pt>
                <c:pt idx="13">
                  <c:v>7.1645482582997744E-2</c:v>
                </c:pt>
                <c:pt idx="14">
                  <c:v>0.30740635271614991</c:v>
                </c:pt>
                <c:pt idx="15">
                  <c:v>-6.2576838179825955E-2</c:v>
                </c:pt>
                <c:pt idx="16">
                  <c:v>-1.5736358936138117E-3</c:v>
                </c:pt>
                <c:pt idx="17">
                  <c:v>-5.7988365046508505E-2</c:v>
                </c:pt>
                <c:pt idx="18">
                  <c:v>-3.4966324508374669E-2</c:v>
                </c:pt>
                <c:pt idx="19">
                  <c:v>6.9172019090938619E-2</c:v>
                </c:pt>
                <c:pt idx="20">
                  <c:v>-1.2423476481606652</c:v>
                </c:pt>
                <c:pt idx="21">
                  <c:v>-3.9305745940641614</c:v>
                </c:pt>
                <c:pt idx="22">
                  <c:v>-0.20535840327446842</c:v>
                </c:pt>
                <c:pt idx="23">
                  <c:v>-0.18050707547769207</c:v>
                </c:pt>
                <c:pt idx="24">
                  <c:v>-9.9459763739375795</c:v>
                </c:pt>
                <c:pt idx="25">
                  <c:v>-8.0463861139897119E-2</c:v>
                </c:pt>
                <c:pt idx="26">
                  <c:v>-3.0421332748708956</c:v>
                </c:pt>
                <c:pt idx="27">
                  <c:v>-1.3204121234306143E-2</c:v>
                </c:pt>
                <c:pt idx="28">
                  <c:v>-4.7530353206362008E-2</c:v>
                </c:pt>
                <c:pt idx="29">
                  <c:v>-6.53299025454811E-2</c:v>
                </c:pt>
                <c:pt idx="30">
                  <c:v>8.3230321315024725E-2</c:v>
                </c:pt>
                <c:pt idx="31">
                  <c:v>-5.4781681320079656E-3</c:v>
                </c:pt>
                <c:pt idx="32">
                  <c:v>1.6914787601148475</c:v>
                </c:pt>
                <c:pt idx="33">
                  <c:v>-7.5301470273316795E-2</c:v>
                </c:pt>
                <c:pt idx="34">
                  <c:v>4.8867170479187649E-3</c:v>
                </c:pt>
                <c:pt idx="35">
                  <c:v>-2.5691022977252231E-2</c:v>
                </c:pt>
                <c:pt idx="36">
                  <c:v>0.10564598694790739</c:v>
                </c:pt>
                <c:pt idx="37">
                  <c:v>-0.16168596485129427</c:v>
                </c:pt>
                <c:pt idx="38">
                  <c:v>1.0911414276640414</c:v>
                </c:pt>
                <c:pt idx="39">
                  <c:v>0.16631862450320511</c:v>
                </c:pt>
                <c:pt idx="40">
                  <c:v>-9.5239406504518342E-2</c:v>
                </c:pt>
                <c:pt idx="41">
                  <c:v>0.31197456762456</c:v>
                </c:pt>
                <c:pt idx="42">
                  <c:v>-5.5030054800761175E-2</c:v>
                </c:pt>
                <c:pt idx="43">
                  <c:v>0.21847273970633552</c:v>
                </c:pt>
                <c:pt idx="44">
                  <c:v>-6.4081890955897336E-2</c:v>
                </c:pt>
                <c:pt idx="45">
                  <c:v>-8.1791253929788255E-3</c:v>
                </c:pt>
                <c:pt idx="46">
                  <c:v>-0.13412212965906889</c:v>
                </c:pt>
                <c:pt idx="47">
                  <c:v>-0.41870028175317486</c:v>
                </c:pt>
                <c:pt idx="48">
                  <c:v>0.27327600403123142</c:v>
                </c:pt>
                <c:pt idx="49">
                  <c:v>0.86058650737822973</c:v>
                </c:pt>
                <c:pt idx="50">
                  <c:v>-0.58596149740570525</c:v>
                </c:pt>
                <c:pt idx="51">
                  <c:v>-0.11232492777217828</c:v>
                </c:pt>
                <c:pt idx="52">
                  <c:v>-0.5311759497853501</c:v>
                </c:pt>
                <c:pt idx="53">
                  <c:v>0.11421301966282371</c:v>
                </c:pt>
                <c:pt idx="54">
                  <c:v>-1.811649221919609E-2</c:v>
                </c:pt>
                <c:pt idx="55">
                  <c:v>-2.528569295986216E-2</c:v>
                </c:pt>
                <c:pt idx="56">
                  <c:v>-1.1714763268803097</c:v>
                </c:pt>
                <c:pt idx="57">
                  <c:v>0.60714679580451048</c:v>
                </c:pt>
                <c:pt idx="58">
                  <c:v>-4.6046189790425842</c:v>
                </c:pt>
                <c:pt idx="59">
                  <c:v>-4.106609765188864</c:v>
                </c:pt>
              </c:numCache>
            </c:numRef>
          </c:xVal>
          <c:yVal>
            <c:numRef>
              <c:f>FIG_sammen1!$B$61:$B$120</c:f>
              <c:numCache>
                <c:formatCode>General</c:formatCode>
                <c:ptCount val="60"/>
                <c:pt idx="0">
                  <c:v>7.6182570184283964</c:v>
                </c:pt>
                <c:pt idx="1">
                  <c:v>11.232986544363275</c:v>
                </c:pt>
                <c:pt idx="2">
                  <c:v>17.282840536999885</c:v>
                </c:pt>
                <c:pt idx="3">
                  <c:v>6.5320324895280688</c:v>
                </c:pt>
                <c:pt idx="4">
                  <c:v>5.7983515693853374</c:v>
                </c:pt>
                <c:pt idx="5">
                  <c:v>4.2823311285934347</c:v>
                </c:pt>
                <c:pt idx="6">
                  <c:v>6.5722436951059002</c:v>
                </c:pt>
                <c:pt idx="7">
                  <c:v>10.810357912516537</c:v>
                </c:pt>
                <c:pt idx="8">
                  <c:v>4.0197072177493922</c:v>
                </c:pt>
                <c:pt idx="9">
                  <c:v>2.9967761029550726</c:v>
                </c:pt>
                <c:pt idx="10">
                  <c:v>19.667306427840153</c:v>
                </c:pt>
                <c:pt idx="11">
                  <c:v>18.780313500497673</c:v>
                </c:pt>
                <c:pt idx="12">
                  <c:v>5.9038031860863649</c:v>
                </c:pt>
                <c:pt idx="13">
                  <c:v>5.7962839648832531</c:v>
                </c:pt>
                <c:pt idx="14">
                  <c:v>4.241993099146697</c:v>
                </c:pt>
                <c:pt idx="15">
                  <c:v>1.9936671499234302</c:v>
                </c:pt>
                <c:pt idx="16">
                  <c:v>7.0383556444582398</c:v>
                </c:pt>
                <c:pt idx="17">
                  <c:v>7.1371973824202275</c:v>
                </c:pt>
                <c:pt idx="18">
                  <c:v>7.4924948342526694</c:v>
                </c:pt>
                <c:pt idx="19">
                  <c:v>10.040479471550876</c:v>
                </c:pt>
                <c:pt idx="20">
                  <c:v>6.7655913961252967</c:v>
                </c:pt>
                <c:pt idx="21">
                  <c:v>7.3848980160645379</c:v>
                </c:pt>
                <c:pt idx="22">
                  <c:v>4.2702159989366857</c:v>
                </c:pt>
                <c:pt idx="23">
                  <c:v>11.87398793515186</c:v>
                </c:pt>
                <c:pt idx="24">
                  <c:v>11.283364864024986</c:v>
                </c:pt>
                <c:pt idx="25">
                  <c:v>4.0164188384402042</c:v>
                </c:pt>
                <c:pt idx="26">
                  <c:v>9.2306206130094512</c:v>
                </c:pt>
                <c:pt idx="27">
                  <c:v>3.5377724164635276</c:v>
                </c:pt>
                <c:pt idx="28">
                  <c:v>38.619476087015386</c:v>
                </c:pt>
                <c:pt idx="29">
                  <c:v>145.97422505764698</c:v>
                </c:pt>
                <c:pt idx="30">
                  <c:v>6.1868362468716009</c:v>
                </c:pt>
                <c:pt idx="31">
                  <c:v>7.54627174109197</c:v>
                </c:pt>
                <c:pt idx="32">
                  <c:v>6.2316062043503981</c:v>
                </c:pt>
                <c:pt idx="33">
                  <c:v>3.9675215922333074</c:v>
                </c:pt>
                <c:pt idx="34">
                  <c:v>3.3376906953691106</c:v>
                </c:pt>
                <c:pt idx="35">
                  <c:v>3.8846880766069067</c:v>
                </c:pt>
                <c:pt idx="36">
                  <c:v>4.9188151096808141</c:v>
                </c:pt>
                <c:pt idx="37">
                  <c:v>3.2398683887437896</c:v>
                </c:pt>
                <c:pt idx="38">
                  <c:v>7.8005118460112435</c:v>
                </c:pt>
                <c:pt idx="39">
                  <c:v>3.6821564626412595</c:v>
                </c:pt>
                <c:pt idx="40">
                  <c:v>7.2522724613870446</c:v>
                </c:pt>
                <c:pt idx="41">
                  <c:v>8.2489989796775394</c:v>
                </c:pt>
                <c:pt idx="42">
                  <c:v>15.409224698952817</c:v>
                </c:pt>
                <c:pt idx="43">
                  <c:v>11.431733770402435</c:v>
                </c:pt>
                <c:pt idx="44">
                  <c:v>17.3252289594578</c:v>
                </c:pt>
                <c:pt idx="45">
                  <c:v>17.855406495260443</c:v>
                </c:pt>
                <c:pt idx="46">
                  <c:v>6.1204792895821702</c:v>
                </c:pt>
                <c:pt idx="47">
                  <c:v>3.7155351234645404</c:v>
                </c:pt>
                <c:pt idx="48">
                  <c:v>6.123015639710796</c:v>
                </c:pt>
                <c:pt idx="49">
                  <c:v>3.6698358255375179</c:v>
                </c:pt>
                <c:pt idx="50">
                  <c:v>2.0643459791876611</c:v>
                </c:pt>
                <c:pt idx="51">
                  <c:v>2.7975969611960938</c:v>
                </c:pt>
                <c:pt idx="52">
                  <c:v>3.4744398921597743</c:v>
                </c:pt>
                <c:pt idx="53">
                  <c:v>4.1605390829670137</c:v>
                </c:pt>
                <c:pt idx="54">
                  <c:v>4.0556930724360205</c:v>
                </c:pt>
                <c:pt idx="55">
                  <c:v>3.4142006761037789</c:v>
                </c:pt>
                <c:pt idx="56">
                  <c:v>33.173212094196046</c:v>
                </c:pt>
                <c:pt idx="57">
                  <c:v>4.5697995482635427</c:v>
                </c:pt>
                <c:pt idx="58">
                  <c:v>1.6995595050613501</c:v>
                </c:pt>
                <c:pt idx="59">
                  <c:v>3.5007160018229282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360-480D-9AE8-B206D76DEFD5}"/>
            </c:ext>
          </c:extLst>
        </c:ser>
        <c:ser>
          <c:idx val="1"/>
          <c:order val="1"/>
          <c:tx>
            <c:strRef>
              <c:f>FIG_sammen1!$E$1</c:f>
              <c:strCache>
                <c:ptCount val="1"/>
                <c:pt idx="0">
                  <c:v>Landbrug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AAA631"/>
              </a:solidFill>
              <a:ln w="12700">
                <a:solidFill>
                  <a:srgbClr val="AAA631"/>
                </a:solidFill>
              </a:ln>
            </c:spPr>
          </c:marker>
          <c:xVal>
            <c:numRef>
              <c:f>FIG_sammen1!$B$1:$B$4</c:f>
              <c:numCache>
                <c:formatCode>General</c:formatCode>
                <c:ptCount val="4"/>
                <c:pt idx="0">
                  <c:v>-6.4119156245064524</c:v>
                </c:pt>
                <c:pt idx="1">
                  <c:v>-2.8880300990546992</c:v>
                </c:pt>
                <c:pt idx="2">
                  <c:v>-3.9756852720527043</c:v>
                </c:pt>
                <c:pt idx="3">
                  <c:v>-1.109878463409288</c:v>
                </c:pt>
              </c:numCache>
            </c:numRef>
          </c:xVal>
          <c:yVal>
            <c:numRef>
              <c:f>FIG_sammen1!$B$61:$B$64</c:f>
              <c:numCache>
                <c:formatCode>General</c:formatCode>
                <c:ptCount val="4"/>
                <c:pt idx="0">
                  <c:v>7.6182570184283964</c:v>
                </c:pt>
                <c:pt idx="1">
                  <c:v>11.232986544363275</c:v>
                </c:pt>
                <c:pt idx="2">
                  <c:v>17.282840536999885</c:v>
                </c:pt>
                <c:pt idx="3">
                  <c:v>6.5320324895280688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360-480D-9AE8-B206D76DEFD5}"/>
            </c:ext>
          </c:extLst>
        </c:ser>
        <c:ser>
          <c:idx val="2"/>
          <c:order val="2"/>
          <c:tx>
            <c:strRef>
              <c:f>FIG_sammen1!$F$1</c:f>
              <c:strCache>
                <c:ptCount val="1"/>
                <c:pt idx="0">
                  <c:v>Gennemsnit (grundforløb)</c:v>
                </c:pt>
              </c:strCache>
            </c:strRef>
          </c:tx>
          <c:spPr>
            <a:ln w="28575">
              <a:solidFill>
                <a:srgbClr val="5C6062"/>
              </a:solidFill>
              <a:prstDash val="solid"/>
            </a:ln>
          </c:spPr>
          <c:marker>
            <c:symbol val="none"/>
          </c:marker>
          <c:xVal>
            <c:numRef>
              <c:f>FIG_sammen1!$H$2:$H$3</c:f>
              <c:numCache>
                <c:formatCode>General</c:formatCode>
                <c:ptCount val="2"/>
                <c:pt idx="0">
                  <c:v>-6.5</c:v>
                </c:pt>
                <c:pt idx="1">
                  <c:v>6.5</c:v>
                </c:pt>
              </c:numCache>
            </c:numRef>
          </c:xVal>
          <c:yVal>
            <c:numRef>
              <c:f>FIG_sammen1!$F$2:$F$3</c:f>
              <c:numCache>
                <c:formatCode>General</c:formatCode>
                <c:ptCount val="2"/>
                <c:pt idx="0">
                  <c:v>3.5235393356605731</c:v>
                </c:pt>
                <c:pt idx="1">
                  <c:v>3.5235393356605731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360-480D-9AE8-B206D76DEFD5}"/>
            </c:ext>
          </c:extLst>
        </c:ser>
        <c:ser>
          <c:idx val="3"/>
          <c:order val="3"/>
          <c:tx>
            <c:strRef>
              <c:f>FIG_sammen1!$G$1</c:f>
              <c:strCache>
                <c:ptCount val="1"/>
                <c:pt idx="0">
                  <c:v>Gennemsnit (alternativforløb)</c:v>
                </c:pt>
              </c:strCache>
            </c:strRef>
          </c:tx>
          <c:spPr>
            <a:ln w="28575">
              <a:solidFill>
                <a:srgbClr val="D35462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FIG_sammen1!$H$2:$H$3</c:f>
              <c:numCache>
                <c:formatCode>General</c:formatCode>
                <c:ptCount val="2"/>
                <c:pt idx="0">
                  <c:v>-6.5</c:v>
                </c:pt>
                <c:pt idx="1">
                  <c:v>6.5</c:v>
                </c:pt>
              </c:numCache>
            </c:numRef>
          </c:xVal>
          <c:yVal>
            <c:numRef>
              <c:f>FIG_sammen1!$G$2:$G$3</c:f>
              <c:numCache>
                <c:formatCode>General</c:formatCode>
                <c:ptCount val="2"/>
                <c:pt idx="0">
                  <c:v>3.4951253049450526</c:v>
                </c:pt>
                <c:pt idx="1">
                  <c:v>3.4951253049450526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360-480D-9AE8-B206D76DE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38688"/>
        <c:axId val="177144960"/>
      </c:scatterChart>
      <c:valAx>
        <c:axId val="177138688"/>
        <c:scaling>
          <c:orientation val="minMax"/>
          <c:max val="7"/>
          <c:min val="-7"/>
        </c:scaling>
        <c:delete val="0"/>
        <c:axPos val="b"/>
        <c:numFmt formatCode="General" sourceLinked="1"/>
        <c:majorTickMark val="out"/>
        <c:minorTickMark val="out"/>
        <c:tickLblPos val="nextTo"/>
        <c:crossAx val="177144960"/>
        <c:crosses val="autoZero"/>
        <c:crossBetween val="midCat"/>
        <c:majorUnit val="14"/>
        <c:minorUnit val="1"/>
      </c:valAx>
      <c:valAx>
        <c:axId val="177144960"/>
        <c:scaling>
          <c:orientation val="minMax"/>
          <c:max val="40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177138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2.6110316609065094E-3"/>
          <c:y val="0.86679142084562444"/>
          <c:w val="0.9885600643546657"/>
          <c:h val="0.1268983529990167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2600" baseline="0">
          <a:latin typeface="Arial" panose="020B0604020202020204" pitchFamily="34" charset="0"/>
        </a:defRPr>
      </a:pPr>
      <a:endParaRPr lang="da-DK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73292813728995E-2"/>
          <c:y val="9.2726155358898721E-2"/>
          <c:w val="0.94475598855917053"/>
          <c:h val="0.6746220501474926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FIG_sammen2!$D$1</c:f>
              <c:strCache>
                <c:ptCount val="1"/>
                <c:pt idx="0">
                  <c:v>Brancher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10B20"/>
              </a:solidFill>
              <a:ln>
                <a:solidFill>
                  <a:srgbClr val="C10B20"/>
                </a:solidFill>
              </a:ln>
            </c:spPr>
          </c:marker>
          <c:xVal>
            <c:numRef>
              <c:f>FIG_sammen2!$B$1:$B$60</c:f>
              <c:numCache>
                <c:formatCode>General</c:formatCode>
                <c:ptCount val="60"/>
                <c:pt idx="0">
                  <c:v>-6.4119156245064524</c:v>
                </c:pt>
                <c:pt idx="1">
                  <c:v>-2.8880300990546992</c:v>
                </c:pt>
                <c:pt idx="2">
                  <c:v>-3.9756852720527043</c:v>
                </c:pt>
                <c:pt idx="3">
                  <c:v>-1.109878463409288</c:v>
                </c:pt>
                <c:pt idx="4">
                  <c:v>-3.288937764106592E-2</c:v>
                </c:pt>
                <c:pt idx="5">
                  <c:v>-0.20425470707629678</c:v>
                </c:pt>
                <c:pt idx="6">
                  <c:v>-6.5921471649152963E-3</c:v>
                </c:pt>
                <c:pt idx="7">
                  <c:v>-0.27763101074929963</c:v>
                </c:pt>
                <c:pt idx="8">
                  <c:v>-0.92329945291481863</c:v>
                </c:pt>
                <c:pt idx="9">
                  <c:v>-0.17368140795225173</c:v>
                </c:pt>
                <c:pt idx="10">
                  <c:v>-3.3646964227653786E-3</c:v>
                </c:pt>
                <c:pt idx="11">
                  <c:v>0.16852597137680903</c:v>
                </c:pt>
                <c:pt idx="12">
                  <c:v>3.4454827906718499E-2</c:v>
                </c:pt>
                <c:pt idx="13">
                  <c:v>7.1645482582997744E-2</c:v>
                </c:pt>
                <c:pt idx="14">
                  <c:v>0.30740635271614991</c:v>
                </c:pt>
                <c:pt idx="15">
                  <c:v>-6.2576838179825955E-2</c:v>
                </c:pt>
                <c:pt idx="16">
                  <c:v>-1.5736358936138117E-3</c:v>
                </c:pt>
                <c:pt idx="17">
                  <c:v>-5.7988365046508505E-2</c:v>
                </c:pt>
                <c:pt idx="18">
                  <c:v>-3.4966324508374669E-2</c:v>
                </c:pt>
                <c:pt idx="19">
                  <c:v>6.9172019090938619E-2</c:v>
                </c:pt>
                <c:pt idx="20">
                  <c:v>-1.2423476481606652</c:v>
                </c:pt>
                <c:pt idx="21">
                  <c:v>-3.9305745940641614</c:v>
                </c:pt>
                <c:pt idx="22">
                  <c:v>-0.20535840327446842</c:v>
                </c:pt>
                <c:pt idx="23">
                  <c:v>-0.18050707547769207</c:v>
                </c:pt>
                <c:pt idx="24">
                  <c:v>-9.9459763739375795</c:v>
                </c:pt>
                <c:pt idx="25">
                  <c:v>-8.0463861139897119E-2</c:v>
                </c:pt>
                <c:pt idx="26">
                  <c:v>-3.0421332748708956</c:v>
                </c:pt>
                <c:pt idx="27">
                  <c:v>-1.3204121234306143E-2</c:v>
                </c:pt>
                <c:pt idx="28">
                  <c:v>-4.7530353206362008E-2</c:v>
                </c:pt>
                <c:pt idx="29">
                  <c:v>-6.53299025454811E-2</c:v>
                </c:pt>
                <c:pt idx="30">
                  <c:v>8.3230321315024725E-2</c:v>
                </c:pt>
                <c:pt idx="31">
                  <c:v>-5.4781681320079656E-3</c:v>
                </c:pt>
                <c:pt idx="32">
                  <c:v>1.6914787601148475</c:v>
                </c:pt>
                <c:pt idx="33">
                  <c:v>-7.5301470273316795E-2</c:v>
                </c:pt>
                <c:pt idx="34">
                  <c:v>4.8867170479187649E-3</c:v>
                </c:pt>
                <c:pt idx="35">
                  <c:v>-2.5691022977252231E-2</c:v>
                </c:pt>
                <c:pt idx="36">
                  <c:v>0.10564598694790739</c:v>
                </c:pt>
                <c:pt idx="37">
                  <c:v>-0.16168596485129427</c:v>
                </c:pt>
                <c:pt idx="38">
                  <c:v>1.0911414276640414</c:v>
                </c:pt>
                <c:pt idx="39">
                  <c:v>0.16631862450320511</c:v>
                </c:pt>
                <c:pt idx="40">
                  <c:v>-9.5239406504518342E-2</c:v>
                </c:pt>
                <c:pt idx="41">
                  <c:v>0.31197456762456</c:v>
                </c:pt>
                <c:pt idx="42">
                  <c:v>-5.5030054800761175E-2</c:v>
                </c:pt>
                <c:pt idx="43">
                  <c:v>0.21847273970633552</c:v>
                </c:pt>
                <c:pt idx="44">
                  <c:v>-6.4081890955897336E-2</c:v>
                </c:pt>
                <c:pt idx="45">
                  <c:v>-8.1791253929788255E-3</c:v>
                </c:pt>
                <c:pt idx="46">
                  <c:v>-0.13412212965906889</c:v>
                </c:pt>
                <c:pt idx="47">
                  <c:v>-0.41870028175317486</c:v>
                </c:pt>
                <c:pt idx="48">
                  <c:v>0.27327600403123142</c:v>
                </c:pt>
                <c:pt idx="49">
                  <c:v>0.86058650737822973</c:v>
                </c:pt>
                <c:pt idx="50">
                  <c:v>-0.58596149740570525</c:v>
                </c:pt>
                <c:pt idx="51">
                  <c:v>-0.11232492777217828</c:v>
                </c:pt>
                <c:pt idx="52">
                  <c:v>-0.5311759497853501</c:v>
                </c:pt>
                <c:pt idx="53">
                  <c:v>0.11421301966282371</c:v>
                </c:pt>
                <c:pt idx="54">
                  <c:v>-1.811649221919609E-2</c:v>
                </c:pt>
                <c:pt idx="55">
                  <c:v>-2.528569295986216E-2</c:v>
                </c:pt>
                <c:pt idx="56">
                  <c:v>-1.1714763268803097</c:v>
                </c:pt>
                <c:pt idx="57">
                  <c:v>0.60714679580451048</c:v>
                </c:pt>
                <c:pt idx="58">
                  <c:v>-4.6046189790425842</c:v>
                </c:pt>
                <c:pt idx="59">
                  <c:v>-4.106609765188864</c:v>
                </c:pt>
              </c:numCache>
            </c:numRef>
          </c:xVal>
          <c:yVal>
            <c:numRef>
              <c:f>FIG_sammen2!$B$61:$B$120</c:f>
              <c:numCache>
                <c:formatCode>General</c:formatCode>
                <c:ptCount val="60"/>
                <c:pt idx="0">
                  <c:v>0.18020990610545687</c:v>
                </c:pt>
                <c:pt idx="1">
                  <c:v>9.2727041827668902E-2</c:v>
                </c:pt>
                <c:pt idx="2">
                  <c:v>6.4362447895518551E-2</c:v>
                </c:pt>
                <c:pt idx="3">
                  <c:v>0.16272322459024752</c:v>
                </c:pt>
                <c:pt idx="4">
                  <c:v>5.7284943718821013E-3</c:v>
                </c:pt>
                <c:pt idx="5">
                  <c:v>-3.8193874007533407E-3</c:v>
                </c:pt>
                <c:pt idx="6">
                  <c:v>7.4962777759549112E-2</c:v>
                </c:pt>
                <c:pt idx="7">
                  <c:v>4.7080197818716602E-3</c:v>
                </c:pt>
                <c:pt idx="8">
                  <c:v>5.0915448799246067E-2</c:v>
                </c:pt>
                <c:pt idx="9">
                  <c:v>3.139696324289902E-2</c:v>
                </c:pt>
                <c:pt idx="10">
                  <c:v>-3.3037424385901487E-3</c:v>
                </c:pt>
                <c:pt idx="11">
                  <c:v>2.1789479403765042E-3</c:v>
                </c:pt>
                <c:pt idx="12">
                  <c:v>-4.5089943348482436E-4</c:v>
                </c:pt>
                <c:pt idx="13">
                  <c:v>1.1176276243717303E-3</c:v>
                </c:pt>
                <c:pt idx="14">
                  <c:v>-3.3070790286164652E-3</c:v>
                </c:pt>
                <c:pt idx="15">
                  <c:v>1.6359364269394733E-2</c:v>
                </c:pt>
                <c:pt idx="16">
                  <c:v>0.40891533387079354</c:v>
                </c:pt>
                <c:pt idx="17">
                  <c:v>0.71018647894745712</c:v>
                </c:pt>
                <c:pt idx="18">
                  <c:v>1.9606688741301639E-2</c:v>
                </c:pt>
                <c:pt idx="19">
                  <c:v>0.32707805051520134</c:v>
                </c:pt>
                <c:pt idx="20">
                  <c:v>8.9903767500288823E-3</c:v>
                </c:pt>
                <c:pt idx="21">
                  <c:v>8.6658179745752444E-3</c:v>
                </c:pt>
                <c:pt idx="22">
                  <c:v>7.6228980264380509E-3</c:v>
                </c:pt>
                <c:pt idx="23">
                  <c:v>6.139807828287578E-3</c:v>
                </c:pt>
                <c:pt idx="24">
                  <c:v>8.5711241485440671E-3</c:v>
                </c:pt>
                <c:pt idx="25">
                  <c:v>7.970423486845693E-3</c:v>
                </c:pt>
                <c:pt idx="26">
                  <c:v>1.0934347672101741E-2</c:v>
                </c:pt>
                <c:pt idx="27">
                  <c:v>2.0952915260719969E-2</c:v>
                </c:pt>
                <c:pt idx="28">
                  <c:v>8.8224956824720265E-4</c:v>
                </c:pt>
                <c:pt idx="29">
                  <c:v>7.9813599191612544E-3</c:v>
                </c:pt>
                <c:pt idx="30">
                  <c:v>3.9927370792248507E-2</c:v>
                </c:pt>
                <c:pt idx="31">
                  <c:v>4.5901492399018556E-2</c:v>
                </c:pt>
                <c:pt idx="32">
                  <c:v>5.5775222693662169E-2</c:v>
                </c:pt>
                <c:pt idx="33">
                  <c:v>3.3052597439181139E-2</c:v>
                </c:pt>
                <c:pt idx="34">
                  <c:v>3.4954752533783655E-2</c:v>
                </c:pt>
                <c:pt idx="35">
                  <c:v>3.4035778641866903E-2</c:v>
                </c:pt>
                <c:pt idx="36">
                  <c:v>6.2164238301482518E-3</c:v>
                </c:pt>
                <c:pt idx="37">
                  <c:v>1.4098926165003949E-2</c:v>
                </c:pt>
                <c:pt idx="38">
                  <c:v>1.3053845710026157E-2</c:v>
                </c:pt>
                <c:pt idx="39">
                  <c:v>1.6349770390482125E-2</c:v>
                </c:pt>
                <c:pt idx="40">
                  <c:v>0.10842134761664664</c:v>
                </c:pt>
                <c:pt idx="41">
                  <c:v>6.3684578612597229E-2</c:v>
                </c:pt>
                <c:pt idx="42">
                  <c:v>0.17519950843196874</c:v>
                </c:pt>
                <c:pt idx="43">
                  <c:v>7.8973587619104502E-2</c:v>
                </c:pt>
                <c:pt idx="44">
                  <c:v>7.0366130814219149E-2</c:v>
                </c:pt>
                <c:pt idx="45">
                  <c:v>6.515627998430952E-2</c:v>
                </c:pt>
                <c:pt idx="46">
                  <c:v>-2.3671810008885274E-3</c:v>
                </c:pt>
                <c:pt idx="47">
                  <c:v>5.105179998330682E-2</c:v>
                </c:pt>
                <c:pt idx="48">
                  <c:v>5.2116896851167806E-2</c:v>
                </c:pt>
                <c:pt idx="49">
                  <c:v>9.5914529686778396E-2</c:v>
                </c:pt>
                <c:pt idx="50">
                  <c:v>3.5766008926887735E-2</c:v>
                </c:pt>
                <c:pt idx="51">
                  <c:v>4.7403002117389244E-3</c:v>
                </c:pt>
                <c:pt idx="52">
                  <c:v>2.708626413886818E-3</c:v>
                </c:pt>
                <c:pt idx="53">
                  <c:v>-5.4837509577996173E-3</c:v>
                </c:pt>
                <c:pt idx="54">
                  <c:v>4.7166540738140902E-2</c:v>
                </c:pt>
                <c:pt idx="55">
                  <c:v>5.1750322053353261E-2</c:v>
                </c:pt>
                <c:pt idx="56">
                  <c:v>5.012356133351179E-3</c:v>
                </c:pt>
                <c:pt idx="57">
                  <c:v>3.5327074995125593E-2</c:v>
                </c:pt>
                <c:pt idx="58">
                  <c:v>7.3755099522287385E-2</c:v>
                </c:pt>
                <c:pt idx="59">
                  <c:v>5.8113396245206617E-2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3-4DE7-B961-F5A29537F6B9}"/>
            </c:ext>
          </c:extLst>
        </c:ser>
        <c:ser>
          <c:idx val="1"/>
          <c:order val="1"/>
          <c:tx>
            <c:strRef>
              <c:f>FIG_sammen2!$E$1</c:f>
              <c:strCache>
                <c:ptCount val="1"/>
                <c:pt idx="0">
                  <c:v>Landbrug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AAA631"/>
              </a:solidFill>
              <a:ln w="12700">
                <a:solidFill>
                  <a:srgbClr val="AAA631"/>
                </a:solidFill>
              </a:ln>
            </c:spPr>
          </c:marker>
          <c:xVal>
            <c:numRef>
              <c:f>FIG_sammen2!$B$1:$B$4</c:f>
              <c:numCache>
                <c:formatCode>General</c:formatCode>
                <c:ptCount val="4"/>
                <c:pt idx="0">
                  <c:v>-6.4119156245064524</c:v>
                </c:pt>
                <c:pt idx="1">
                  <c:v>-2.8880300990546992</c:v>
                </c:pt>
                <c:pt idx="2">
                  <c:v>-3.9756852720527043</c:v>
                </c:pt>
                <c:pt idx="3">
                  <c:v>-1.109878463409288</c:v>
                </c:pt>
              </c:numCache>
            </c:numRef>
          </c:xVal>
          <c:yVal>
            <c:numRef>
              <c:f>FIG_sammen2!$B$61:$B$64</c:f>
              <c:numCache>
                <c:formatCode>General</c:formatCode>
                <c:ptCount val="4"/>
                <c:pt idx="0">
                  <c:v>0.18020990610545687</c:v>
                </c:pt>
                <c:pt idx="1">
                  <c:v>9.2727041827668902E-2</c:v>
                </c:pt>
                <c:pt idx="2">
                  <c:v>6.4362447895518551E-2</c:v>
                </c:pt>
                <c:pt idx="3">
                  <c:v>0.16272322459024752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133-4DE7-B961-F5A29537F6B9}"/>
            </c:ext>
          </c:extLst>
        </c:ser>
        <c:ser>
          <c:idx val="2"/>
          <c:order val="2"/>
          <c:tx>
            <c:strRef>
              <c:f>FIG_sammen2!$F$1</c:f>
              <c:strCache>
                <c:ptCount val="1"/>
                <c:pt idx="0">
                  <c:v>Gennemsnit (grundforløb)</c:v>
                </c:pt>
              </c:strCache>
            </c:strRef>
          </c:tx>
          <c:spPr>
            <a:ln w="28575">
              <a:solidFill>
                <a:srgbClr val="5C6062"/>
              </a:solidFill>
              <a:prstDash val="solid"/>
            </a:ln>
          </c:spPr>
          <c:marker>
            <c:symbol val="none"/>
          </c:marker>
          <c:xVal>
            <c:numRef>
              <c:f>FIG_sammen2!$H$2:$H$3</c:f>
              <c:numCache>
                <c:formatCode>General</c:formatCode>
                <c:ptCount val="2"/>
                <c:pt idx="0">
                  <c:v>-6.5</c:v>
                </c:pt>
                <c:pt idx="1">
                  <c:v>6.5</c:v>
                </c:pt>
              </c:numCache>
            </c:numRef>
          </c:xVal>
          <c:yVal>
            <c:numRef>
              <c:f>FIG_sammen2!$F$2:$F$3</c:f>
              <c:numCache>
                <c:formatCode>General</c:formatCode>
                <c:ptCount val="2"/>
                <c:pt idx="0">
                  <c:v>5.0275393692950754E-2</c:v>
                </c:pt>
                <c:pt idx="1">
                  <c:v>5.0275393692950754E-2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133-4DE7-B961-F5A29537F6B9}"/>
            </c:ext>
          </c:extLst>
        </c:ser>
        <c:ser>
          <c:idx val="3"/>
          <c:order val="3"/>
          <c:tx>
            <c:strRef>
              <c:f>FIG_sammen2!$G$1</c:f>
              <c:strCache>
                <c:ptCount val="1"/>
                <c:pt idx="0">
                  <c:v>Gennemsnit (alternativforløb)</c:v>
                </c:pt>
              </c:strCache>
            </c:strRef>
          </c:tx>
          <c:spPr>
            <a:ln w="28575">
              <a:solidFill>
                <a:srgbClr val="D35462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FIG_sammen2!$H$2:$H$3</c:f>
              <c:numCache>
                <c:formatCode>General</c:formatCode>
                <c:ptCount val="2"/>
                <c:pt idx="0">
                  <c:v>-6.5</c:v>
                </c:pt>
                <c:pt idx="1">
                  <c:v>6.5</c:v>
                </c:pt>
              </c:numCache>
            </c:numRef>
          </c:xVal>
          <c:yVal>
            <c:numRef>
              <c:f>FIG_sammen2!$G$2:$G$3</c:f>
              <c:numCache>
                <c:formatCode>General</c:formatCode>
                <c:ptCount val="2"/>
                <c:pt idx="0">
                  <c:v>5.0567131035551577E-2</c:v>
                </c:pt>
                <c:pt idx="1">
                  <c:v>5.0567131035551577E-2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133-4DE7-B961-F5A29537F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05920"/>
        <c:axId val="176707840"/>
      </c:scatterChart>
      <c:valAx>
        <c:axId val="176705920"/>
        <c:scaling>
          <c:orientation val="minMax"/>
          <c:max val="7"/>
          <c:min val="-7"/>
        </c:scaling>
        <c:delete val="0"/>
        <c:axPos val="b"/>
        <c:numFmt formatCode="General" sourceLinked="1"/>
        <c:majorTickMark val="out"/>
        <c:minorTickMark val="out"/>
        <c:tickLblPos val="nextTo"/>
        <c:crossAx val="176707840"/>
        <c:crosses val="autoZero"/>
        <c:crossBetween val="midCat"/>
        <c:majorUnit val="14"/>
        <c:minorUnit val="1"/>
      </c:valAx>
      <c:valAx>
        <c:axId val="176707840"/>
        <c:scaling>
          <c:orientation val="minMax"/>
          <c:max val="0.21000000000000002"/>
          <c:min val="-0.2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176705920"/>
        <c:crosses val="autoZero"/>
        <c:crossBetween val="midCat"/>
        <c:majorUnit val="0.1"/>
      </c:valAx>
    </c:plotArea>
    <c:legend>
      <c:legendPos val="r"/>
      <c:layout>
        <c:manualLayout>
          <c:xMode val="edge"/>
          <c:yMode val="edge"/>
          <c:x val="2.6110316609065094E-3"/>
          <c:y val="0.86679142084562444"/>
          <c:w val="0.9885600643546657"/>
          <c:h val="0.1268983529990167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2600" baseline="0">
          <a:latin typeface="Arial" panose="020B0604020202020204" pitchFamily="34" charset="0"/>
        </a:defRPr>
      </a:pPr>
      <a:endParaRPr lang="da-DK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24</xdr:row>
      <xdr:rowOff>152399</xdr:rowOff>
    </xdr:from>
    <xdr:to>
      <xdr:col>15</xdr:col>
      <xdr:colOff>142874</xdr:colOff>
      <xdr:row>49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548861</xdr:colOff>
      <xdr:row>25</xdr:row>
      <xdr:rowOff>157347</xdr:rowOff>
    </xdr:from>
    <xdr:to>
      <xdr:col>39</xdr:col>
      <xdr:colOff>570376</xdr:colOff>
      <xdr:row>66</xdr:row>
      <xdr:rowOff>1089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515213</xdr:colOff>
      <xdr:row>21</xdr:row>
      <xdr:rowOff>131616</xdr:rowOff>
    </xdr:from>
    <xdr:to>
      <xdr:col>59</xdr:col>
      <xdr:colOff>514858</xdr:colOff>
      <xdr:row>56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0.69765</cdr:x>
      <cdr:y>0.92323</cdr:y>
    </cdr:from>
    <cdr:to>
      <cdr:x>0.97065</cdr:x>
      <cdr:y>0.97172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791325" y="4352926"/>
          <a:ext cx="265747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a-DK" sz="1100"/>
            <a:t>---- Opnåelse af 70 pct.-målsætningen ----</a:t>
          </a:r>
        </a:p>
      </cdr:txBody>
    </cdr:sp>
  </cdr:relSizeAnchor>
  <cdr:relSizeAnchor xmlns:cdr="http://schemas.openxmlformats.org/drawingml/2006/chartDrawing">
    <cdr:from>
      <cdr:x>0.00978</cdr:x>
      <cdr:y>0.04646</cdr:y>
    </cdr:from>
    <cdr:to>
      <cdr:x>0.14384</cdr:x>
      <cdr:y>0.10707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5250" y="219076"/>
          <a:ext cx="1304925" cy="28575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1100"/>
            <a:t>37.700 ton CO2e</a:t>
          </a:r>
        </a:p>
      </cdr:txBody>
    </cdr:sp>
  </cdr:relSizeAnchor>
  <cdr:relSizeAnchor xmlns:cdr="http://schemas.openxmlformats.org/drawingml/2006/chartDrawing">
    <cdr:from>
      <cdr:x>0.67613</cdr:x>
      <cdr:y>0.35152</cdr:y>
    </cdr:from>
    <cdr:to>
      <cdr:x>0.81018</cdr:x>
      <cdr:y>0.41212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6581775" y="1657351"/>
          <a:ext cx="1304925" cy="28575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1100"/>
            <a:t>21.500 ton CO2e</a:t>
          </a:r>
        </a:p>
      </cdr:txBody>
    </cdr:sp>
  </cdr:relSizeAnchor>
  <cdr:relSizeAnchor xmlns:cdr="http://schemas.openxmlformats.org/drawingml/2006/chartDrawing">
    <cdr:from>
      <cdr:x>0.86595</cdr:x>
      <cdr:y>0.45253</cdr:y>
    </cdr:from>
    <cdr:to>
      <cdr:x>1</cdr:x>
      <cdr:y>0.51313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8429624" y="2133601"/>
          <a:ext cx="1304925" cy="28575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1100"/>
            <a:t>16.500 ton CO2e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0.5798</cdr:x>
      <cdr:y>0.90903</cdr:y>
    </cdr:from>
    <cdr:to>
      <cdr:x>0.96064</cdr:x>
      <cdr:y>0.97161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612773" y="4305571"/>
          <a:ext cx="3686735" cy="29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2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---- Opnåelse af 70 pct.-målsætningen ----</a:t>
          </a:r>
        </a:p>
      </cdr:txBody>
    </cdr:sp>
  </cdr:relSizeAnchor>
  <cdr:relSizeAnchor xmlns:cdr="http://schemas.openxmlformats.org/drawingml/2006/chartDrawing">
    <cdr:from>
      <cdr:x>0.03826</cdr:x>
      <cdr:y>0.13805</cdr:y>
    </cdr:from>
    <cdr:to>
      <cdr:x>0.13086</cdr:x>
      <cdr:y>0.19866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78492" y="1025870"/>
          <a:ext cx="1400112" cy="45039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2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38,7</a:t>
          </a:r>
        </a:p>
      </cdr:txBody>
    </cdr:sp>
  </cdr:relSizeAnchor>
  <cdr:relSizeAnchor xmlns:cdr="http://schemas.openxmlformats.org/drawingml/2006/chartDrawing">
    <cdr:from>
      <cdr:x>0.59717</cdr:x>
      <cdr:y>0.305</cdr:y>
    </cdr:from>
    <cdr:to>
      <cdr:x>0.67125</cdr:x>
      <cdr:y>0.3656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6184709" y="1444593"/>
          <a:ext cx="767278" cy="28702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2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27,8</a:t>
          </a:r>
        </a:p>
      </cdr:txBody>
    </cdr:sp>
  </cdr:relSizeAnchor>
  <cdr:relSizeAnchor xmlns:cdr="http://schemas.openxmlformats.org/drawingml/2006/chartDrawing">
    <cdr:from>
      <cdr:x>0.85862</cdr:x>
      <cdr:y>0.38684</cdr:y>
    </cdr:from>
    <cdr:to>
      <cdr:x>0.95122</cdr:x>
      <cdr:y>0.44744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12982337" y="2874678"/>
          <a:ext cx="1400112" cy="45032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2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22,8</a:t>
          </a:r>
        </a:p>
      </cdr:txBody>
    </cdr:sp>
  </cdr:relSizeAnchor>
  <cdr:relSizeAnchor xmlns:cdr="http://schemas.openxmlformats.org/drawingml/2006/chartDrawing">
    <cdr:from>
      <cdr:x>0.13993</cdr:x>
      <cdr:y>0.91026</cdr:y>
    </cdr:from>
    <cdr:to>
      <cdr:x>0.4189</cdr:x>
      <cdr:y>0.9787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1354559" y="4311395"/>
          <a:ext cx="2700571" cy="324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2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Reduktioner</a:t>
          </a:r>
          <a:r>
            <a:rPr lang="da-DK" sz="2000" baseline="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 hos virksomheder</a:t>
          </a:r>
        </a:p>
      </cdr:txBody>
    </cdr:sp>
  </cdr:relSizeAnchor>
  <cdr:relSizeAnchor xmlns:cdr="http://schemas.openxmlformats.org/drawingml/2006/chartDrawing">
    <cdr:from>
      <cdr:x>0.00834</cdr:x>
      <cdr:y>0.04072</cdr:y>
    </cdr:from>
    <cdr:to>
      <cdr:x>0.14016</cdr:x>
      <cdr:y>0.09995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81643" y="192879"/>
          <a:ext cx="1290447" cy="28050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2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Mio. ton CO</a:t>
          </a:r>
          <a:r>
            <a:rPr lang="da-DK" sz="2000" baseline="-25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2</a:t>
          </a:r>
          <a:r>
            <a:rPr lang="da-DK" sz="2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e</a:t>
          </a:r>
        </a:p>
      </cdr:txBody>
    </cdr:sp>
  </cdr:relSizeAnchor>
  <cdr:relSizeAnchor xmlns:cdr="http://schemas.openxmlformats.org/drawingml/2006/chartDrawing">
    <cdr:from>
      <cdr:x>0.17453</cdr:x>
      <cdr:y>0.14316</cdr:y>
    </cdr:from>
    <cdr:to>
      <cdr:x>0.26714</cdr:x>
      <cdr:y>0.20377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2638896" y="1063803"/>
          <a:ext cx="1400263" cy="45039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2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-4,3</a:t>
          </a:r>
        </a:p>
      </cdr:txBody>
    </cdr:sp>
  </cdr:relSizeAnchor>
  <cdr:relSizeAnchor xmlns:cdr="http://schemas.openxmlformats.org/drawingml/2006/chartDrawing">
    <cdr:from>
      <cdr:x>0.31076</cdr:x>
      <cdr:y>0.20937</cdr:y>
    </cdr:from>
    <cdr:to>
      <cdr:x>0.40336</cdr:x>
      <cdr:y>0.26998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4698692" y="1555813"/>
          <a:ext cx="1400112" cy="45039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2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-6,4</a:t>
          </a:r>
        </a:p>
      </cdr:txBody>
    </cdr:sp>
  </cdr:relSizeAnchor>
  <cdr:relSizeAnchor xmlns:cdr="http://schemas.openxmlformats.org/drawingml/2006/chartDrawing">
    <cdr:from>
      <cdr:x>0.44831</cdr:x>
      <cdr:y>0.29773</cdr:y>
    </cdr:from>
    <cdr:to>
      <cdr:x>0.54092</cdr:x>
      <cdr:y>0.35834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4643092" y="1410157"/>
          <a:ext cx="959097" cy="28707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2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-0,2</a:t>
          </a:r>
        </a:p>
      </cdr:txBody>
    </cdr:sp>
  </cdr:relSizeAnchor>
  <cdr:relSizeAnchor xmlns:cdr="http://schemas.openxmlformats.org/drawingml/2006/chartDrawing">
    <cdr:from>
      <cdr:x>0.73188</cdr:x>
      <cdr:y>0.30608</cdr:y>
    </cdr:from>
    <cdr:to>
      <cdr:x>0.80597</cdr:x>
      <cdr:y>0.36668</cdr:y>
    </cdr:to>
    <cdr:sp macro="" textlink="">
      <cdr:nvSpPr>
        <cdr:cNvPr id="12" name="TextBox 11"/>
        <cdr:cNvSpPr txBox="1"/>
      </cdr:nvSpPr>
      <cdr:spPr>
        <a:xfrm xmlns:a="http://schemas.openxmlformats.org/drawingml/2006/main">
          <a:off x="11066026" y="2274474"/>
          <a:ext cx="1120241" cy="45032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2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-5,0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0.61916</cdr:x>
      <cdr:y>0.91123</cdr:y>
    </cdr:from>
    <cdr:to>
      <cdr:x>1</cdr:x>
      <cdr:y>0.97381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793698" y="5955688"/>
          <a:ext cx="4178747" cy="4090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---- Opnåelse af 70 pct.-målsætningen ----</a:t>
          </a:r>
        </a:p>
      </cdr:txBody>
    </cdr:sp>
  </cdr:relSizeAnchor>
  <cdr:relSizeAnchor xmlns:cdr="http://schemas.openxmlformats.org/drawingml/2006/chartDrawing">
    <cdr:from>
      <cdr:x>9.11374E-8</cdr:x>
      <cdr:y>0.04246</cdr:y>
    </cdr:from>
    <cdr:to>
      <cdr:x>0.13795</cdr:x>
      <cdr:y>0.12997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" y="277487"/>
          <a:ext cx="1513612" cy="57197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37.700</a:t>
          </a:r>
        </a:p>
        <a:p xmlns:a="http://schemas.openxmlformats.org/drawingml/2006/main">
          <a:pPr algn="ctr"/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ton CO2e</a:t>
          </a:r>
        </a:p>
      </cdr:txBody>
    </cdr:sp>
  </cdr:relSizeAnchor>
  <cdr:relSizeAnchor xmlns:cdr="http://schemas.openxmlformats.org/drawingml/2006/chartDrawing">
    <cdr:from>
      <cdr:x>0.63449</cdr:x>
      <cdr:y>0.34101</cdr:y>
    </cdr:from>
    <cdr:to>
      <cdr:x>0.79311</cdr:x>
      <cdr:y>0.42727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6961891" y="2228776"/>
          <a:ext cx="1740450" cy="56378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21.500</a:t>
          </a:r>
        </a:p>
        <a:p xmlns:a="http://schemas.openxmlformats.org/drawingml/2006/main">
          <a:pPr algn="ctr"/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ton CO2e</a:t>
          </a:r>
        </a:p>
      </cdr:txBody>
    </cdr:sp>
  </cdr:relSizeAnchor>
  <cdr:relSizeAnchor xmlns:cdr="http://schemas.openxmlformats.org/drawingml/2006/chartDrawing">
    <cdr:from>
      <cdr:x>0.86019</cdr:x>
      <cdr:y>0.42851</cdr:y>
    </cdr:from>
    <cdr:to>
      <cdr:x>0.98264</cdr:x>
      <cdr:y>0.51325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9438411" y="2800704"/>
          <a:ext cx="1343533" cy="5538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16.500</a:t>
          </a:r>
        </a:p>
        <a:p xmlns:a="http://schemas.openxmlformats.org/drawingml/2006/main">
          <a:pPr algn="ctr"/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ton CO2e</a:t>
          </a:r>
        </a:p>
      </cdr:txBody>
    </cdr:sp>
  </cdr:relSizeAnchor>
  <cdr:relSizeAnchor xmlns:cdr="http://schemas.openxmlformats.org/drawingml/2006/chartDrawing">
    <cdr:from>
      <cdr:x>0.30176</cdr:x>
      <cdr:y>0.89371</cdr:y>
    </cdr:from>
    <cdr:to>
      <cdr:x>0.58073</cdr:x>
      <cdr:y>0.97668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311088" y="5841189"/>
          <a:ext cx="3060984" cy="5422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Reduktioner</a:t>
          </a:r>
          <a:r>
            <a:rPr lang="da-DK" sz="1200" baseline="0">
              <a:latin typeface="Verdana" panose="020B0604030504040204" pitchFamily="34" charset="0"/>
              <a:ea typeface="Verdana" panose="020B0604030504040204" pitchFamily="34" charset="0"/>
            </a:rPr>
            <a:t> hos</a:t>
          </a:r>
        </a:p>
        <a:p xmlns:a="http://schemas.openxmlformats.org/drawingml/2006/main">
          <a:pPr algn="ctr"/>
          <a:r>
            <a:rPr lang="da-DK" sz="1200" baseline="0">
              <a:latin typeface="Verdana" panose="020B0604030504040204" pitchFamily="34" charset="0"/>
              <a:ea typeface="Verdana" panose="020B0604030504040204" pitchFamily="34" charset="0"/>
            </a:rPr>
            <a:t>virksomheder</a:t>
          </a:r>
        </a:p>
      </cdr:txBody>
    </cdr:sp>
  </cdr:relSizeAnchor>
  <cdr:relSizeAnchor xmlns:cdr="http://schemas.openxmlformats.org/drawingml/2006/chartDrawing">
    <cdr:from>
      <cdr:x>0.21615</cdr:x>
      <cdr:y>0.05266</cdr:y>
    </cdr:from>
    <cdr:to>
      <cdr:x>0.3541</cdr:x>
      <cdr:y>0.14017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2371726" y="344162"/>
          <a:ext cx="1513612" cy="57197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37.000</a:t>
          </a:r>
        </a:p>
        <a:p xmlns:a="http://schemas.openxmlformats.org/drawingml/2006/main">
          <a:pPr algn="ctr"/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ton CO2e</a:t>
          </a:r>
        </a:p>
      </cdr:txBody>
    </cdr:sp>
  </cdr:relSizeAnchor>
  <cdr:relSizeAnchor xmlns:cdr="http://schemas.openxmlformats.org/drawingml/2006/chartDrawing">
    <cdr:from>
      <cdr:x>9.11374E-8</cdr:x>
      <cdr:y>0.91852</cdr:y>
    </cdr:from>
    <cdr:to>
      <cdr:x>0.33761</cdr:x>
      <cdr:y>0.9811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1" y="6003313"/>
          <a:ext cx="3704362" cy="4090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-------- Frozen</a:t>
          </a:r>
          <a:r>
            <a:rPr lang="da-DK" sz="1200" baseline="0">
              <a:latin typeface="Verdana" panose="020B0604030504040204" pitchFamily="34" charset="0"/>
              <a:ea typeface="Verdana" panose="020B0604030504040204" pitchFamily="34" charset="0"/>
            </a:rPr>
            <a:t> policy</a:t>
          </a:r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 ---------</a:t>
          </a:r>
        </a:p>
      </cdr:txBody>
    </cdr:sp>
  </cdr:relSizeAnchor>
  <cdr:relSizeAnchor xmlns:cdr="http://schemas.openxmlformats.org/drawingml/2006/chartDrawing">
    <cdr:from>
      <cdr:x>0.33147</cdr:x>
      <cdr:y>0.91352</cdr:y>
    </cdr:from>
    <cdr:to>
      <cdr:x>0.3991</cdr:x>
      <cdr:y>0.95711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3653306" y="5970656"/>
          <a:ext cx="745400" cy="28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---- </a:t>
          </a:r>
        </a:p>
      </cdr:txBody>
    </cdr:sp>
  </cdr:relSizeAnchor>
  <cdr:relSizeAnchor xmlns:cdr="http://schemas.openxmlformats.org/drawingml/2006/chartDrawing">
    <cdr:from>
      <cdr:x>0.47845</cdr:x>
      <cdr:y>0.91539</cdr:y>
    </cdr:from>
    <cdr:to>
      <cdr:x>0.54608</cdr:x>
      <cdr:y>0.95899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5273194" y="5982902"/>
          <a:ext cx="745400" cy="28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a-DK" sz="1200">
              <a:latin typeface="Verdana" panose="020B0604030504040204" pitchFamily="34" charset="0"/>
              <a:ea typeface="Verdana" panose="020B0604030504040204" pitchFamily="34" charset="0"/>
            </a:rPr>
            <a:t>---- 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8</xdr:row>
      <xdr:rowOff>0</xdr:rowOff>
    </xdr:from>
    <xdr:to>
      <xdr:col>27</xdr:col>
      <xdr:colOff>429900</xdr:colOff>
      <xdr:row>44</xdr:row>
      <xdr:rowOff>108000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0.00505</cdr:x>
      <cdr:y>0.0078</cdr:y>
    </cdr:from>
    <cdr:to>
      <cdr:x>1</cdr:x>
      <cdr:y>0.08089</cdr:y>
    </cdr:to>
    <cdr:sp macro="" textlink="">
      <cdr:nvSpPr>
        <cdr:cNvPr id="2" name="Tekstboks 1"/>
        <cdr:cNvSpPr txBox="1"/>
      </cdr:nvSpPr>
      <cdr:spPr>
        <a:xfrm xmlns:a="http://schemas.openxmlformats.org/drawingml/2006/main">
          <a:off x="50800" y="50800"/>
          <a:ext cx="10018400" cy="47570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2160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a-DK" sz="2600">
              <a:latin typeface="Arial" panose="020B0604020202020204" pitchFamily="34" charset="0"/>
              <a:cs typeface="Arial" panose="020B0604020202020204" pitchFamily="34" charset="0"/>
            </a:rPr>
            <a:t>Produktion</a:t>
          </a:r>
          <a:r>
            <a:rPr lang="da-DK" sz="2600" baseline="0">
              <a:latin typeface="Arial" panose="020B0604020202020204" pitchFamily="34" charset="0"/>
              <a:cs typeface="Arial" panose="020B0604020202020204" pitchFamily="34" charset="0"/>
            </a:rPr>
            <a:t> relativt til arbejdskraft</a:t>
          </a:r>
          <a:endParaRPr lang="da-DK" sz="26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0.00505</cdr:x>
      <cdr:y>0.79024</cdr:y>
    </cdr:from>
    <cdr:to>
      <cdr:x>1</cdr:x>
      <cdr:y>0.86332</cdr:y>
    </cdr:to>
    <cdr:sp macro="" textlink="">
      <cdr:nvSpPr>
        <cdr:cNvPr id="3" name="Tekstboks 1"/>
        <cdr:cNvSpPr txBox="1"/>
      </cdr:nvSpPr>
      <cdr:spPr>
        <a:xfrm xmlns:a="http://schemas.openxmlformats.org/drawingml/2006/main">
          <a:off x="50800" y="5143500"/>
          <a:ext cx="10018400" cy="47570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2160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a-DK" sz="2600">
              <a:latin typeface="Arial" panose="020B0604020202020204" pitchFamily="34" charset="0"/>
              <a:cs typeface="Arial" panose="020B0604020202020204" pitchFamily="34" charset="0"/>
            </a:rPr>
            <a:t>Ændring</a:t>
          </a:r>
          <a:r>
            <a:rPr lang="da-DK" sz="2600" baseline="0">
              <a:latin typeface="Arial" panose="020B0604020202020204" pitchFamily="34" charset="0"/>
              <a:cs typeface="Arial" panose="020B0604020202020204" pitchFamily="34" charset="0"/>
            </a:rPr>
            <a:t> i p</a:t>
          </a:r>
          <a:r>
            <a:rPr lang="da-DK" sz="2600">
              <a:latin typeface="Arial" panose="020B0604020202020204" pitchFamily="34" charset="0"/>
              <a:cs typeface="Arial" panose="020B0604020202020204" pitchFamily="34" charset="0"/>
            </a:rPr>
            <a:t>roduktion (mia. kr.)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8</xdr:row>
      <xdr:rowOff>0</xdr:rowOff>
    </xdr:from>
    <xdr:to>
      <xdr:col>27</xdr:col>
      <xdr:colOff>429900</xdr:colOff>
      <xdr:row>44</xdr:row>
      <xdr:rowOff>108000</xdr:rowOff>
    </xdr:to>
    <xdr:graphicFrame macro="">
      <xdr:nvGraphicFramePr>
        <xdr:cNvPr id="2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0.00505</cdr:x>
      <cdr:y>0.0078</cdr:y>
    </cdr:from>
    <cdr:to>
      <cdr:x>1</cdr:x>
      <cdr:y>0.08089</cdr:y>
    </cdr:to>
    <cdr:sp macro="" textlink="">
      <cdr:nvSpPr>
        <cdr:cNvPr id="2" name="Tekstboks 1"/>
        <cdr:cNvSpPr txBox="1"/>
      </cdr:nvSpPr>
      <cdr:spPr>
        <a:xfrm xmlns:a="http://schemas.openxmlformats.org/drawingml/2006/main">
          <a:off x="50800" y="50800"/>
          <a:ext cx="10018400" cy="47570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2160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a-DK" sz="2600">
              <a:latin typeface="Arial" panose="020B0604020202020204" pitchFamily="34" charset="0"/>
              <a:cs typeface="Arial" panose="020B0604020202020204" pitchFamily="34" charset="0"/>
            </a:rPr>
            <a:t>Dividender</a:t>
          </a:r>
          <a:r>
            <a:rPr lang="da-DK" sz="2600" baseline="0">
              <a:latin typeface="Arial" panose="020B0604020202020204" pitchFamily="34" charset="0"/>
              <a:cs typeface="Arial" panose="020B0604020202020204" pitchFamily="34" charset="0"/>
            </a:rPr>
            <a:t> relativt til produktion</a:t>
          </a:r>
          <a:endParaRPr lang="da-DK" sz="26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0.00505</cdr:x>
      <cdr:y>0.79024</cdr:y>
    </cdr:from>
    <cdr:to>
      <cdr:x>1</cdr:x>
      <cdr:y>0.86332</cdr:y>
    </cdr:to>
    <cdr:sp macro="" textlink="">
      <cdr:nvSpPr>
        <cdr:cNvPr id="3" name="Tekstboks 1"/>
        <cdr:cNvSpPr txBox="1"/>
      </cdr:nvSpPr>
      <cdr:spPr>
        <a:xfrm xmlns:a="http://schemas.openxmlformats.org/drawingml/2006/main">
          <a:off x="50800" y="5143500"/>
          <a:ext cx="10018400" cy="47570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2160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a-DK" sz="2600">
              <a:latin typeface="Arial" panose="020B0604020202020204" pitchFamily="34" charset="0"/>
              <a:cs typeface="Arial" panose="020B0604020202020204" pitchFamily="34" charset="0"/>
            </a:rPr>
            <a:t>Ændring</a:t>
          </a:r>
          <a:r>
            <a:rPr lang="da-DK" sz="2600" baseline="0">
              <a:latin typeface="Arial" panose="020B0604020202020204" pitchFamily="34" charset="0"/>
              <a:cs typeface="Arial" panose="020B0604020202020204" pitchFamily="34" charset="0"/>
            </a:rPr>
            <a:t> i p</a:t>
          </a:r>
          <a:r>
            <a:rPr lang="da-DK" sz="2600">
              <a:latin typeface="Arial" panose="020B0604020202020204" pitchFamily="34" charset="0"/>
              <a:cs typeface="Arial" panose="020B0604020202020204" pitchFamily="34" charset="0"/>
            </a:rPr>
            <a:t>roduktion (mia. kr.)</a:t>
          </a:r>
        </a:p>
      </cdr:txBody>
    </cdr:sp>
  </cdr:relSizeAnchor>
</c:userShape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5"/>
  <sheetViews>
    <sheetView zoomScaleNormal="100" workbookViewId="0">
      <selection activeCell="I16" sqref="I16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4"/>
      <c r="B1" s="5"/>
      <c r="C1" s="5"/>
      <c r="D1" s="5"/>
    </row>
    <row r="2" ht="13.95" customHeight="1">
      <c r="A2" s="8"/>
      <c r="B2" s="10" t="s">
        <v>0</v>
      </c>
      <c r="C2" s="10" t="s">
        <v>1</v>
      </c>
      <c r="D2" s="9"/>
    </row>
    <row r="3" ht="13.95" customHeight="1">
      <c r="A3" s="4" t="s">
        <v>2</v>
      </c>
      <c r="B3" s="35"/>
      <c r="C3" s="35"/>
      <c r="D3" s="5"/>
    </row>
    <row r="4" ht="13.95" customHeight="1">
      <c r="A4" s="4" t="s">
        <v>3</v>
      </c>
      <c r="B4" s="35"/>
      <c r="C4" s="35"/>
      <c r="D4" s="5"/>
    </row>
    <row r="5" ht="13.95" customHeight="1">
      <c r="A5" s="4" t="s">
        <v>4</v>
      </c>
      <c r="B5" s="35"/>
      <c r="C5" s="35"/>
      <c r="D5" s="5"/>
    </row>
    <row r="6" ht="13.95" customHeight="1">
      <c r="A6" s="4" t="s">
        <v>5</v>
      </c>
      <c r="B6" s="35"/>
      <c r="C6" s="35"/>
      <c r="D6" s="5"/>
    </row>
    <row r="7" ht="13.95" customHeight="1">
      <c r="A7" s="4" t="s">
        <v>6</v>
      </c>
      <c r="B7" s="35"/>
      <c r="C7" s="35"/>
      <c r="D7" s="5"/>
    </row>
    <row r="8" ht="13.95" customHeight="1">
      <c r="A8" s="4" t="s">
        <v>7</v>
      </c>
      <c r="B8" s="35"/>
      <c r="C8" s="35"/>
      <c r="D8" s="5"/>
    </row>
    <row r="9" ht="13.95" customHeight="1">
      <c r="A9" s="4" t="s">
        <v>8</v>
      </c>
      <c r="B9" s="35"/>
      <c r="C9" s="35"/>
      <c r="D9" s="5"/>
    </row>
    <row r="10" ht="13.95" customHeight="1">
      <c r="A10" s="4" t="s">
        <v>9</v>
      </c>
      <c r="B10" s="35"/>
      <c r="C10" s="35"/>
      <c r="D10" s="5"/>
    </row>
    <row r="11" ht="13.95" customHeight="1">
      <c r="A11" s="4" t="s">
        <v>10</v>
      </c>
      <c r="B11" s="35"/>
      <c r="C11" s="35"/>
      <c r="D11" s="5"/>
    </row>
    <row r="12" ht="13.95" customHeight="1">
      <c r="A12" s="4" t="s">
        <v>11</v>
      </c>
      <c r="B12" s="35"/>
      <c r="C12" s="35"/>
      <c r="D12" s="5"/>
    </row>
    <row r="13" ht="13.95" customHeight="1">
      <c r="A13" s="37"/>
      <c r="B13" s="95" t="s">
        <v>12</v>
      </c>
      <c r="C13" s="96"/>
      <c r="D13" s="38"/>
    </row>
    <row r="14" ht="13.95" customHeight="1">
      <c r="A14" s="4" t="s">
        <v>13</v>
      </c>
      <c r="B14" s="35"/>
      <c r="C14" s="35"/>
      <c r="D14" s="5"/>
    </row>
    <row r="15" ht="13.95" customHeight="1">
      <c r="A15" s="4" t="s">
        <v>14</v>
      </c>
      <c r="B15" s="35"/>
      <c r="C15" s="35"/>
      <c r="D15" s="5"/>
    </row>
    <row r="16" ht="13.95" customHeight="1">
      <c r="A16" s="4" t="s">
        <v>15</v>
      </c>
      <c r="B16" s="35"/>
      <c r="C16" s="35"/>
      <c r="D16" s="5"/>
    </row>
    <row r="17" ht="13.95" customHeight="1">
      <c r="A17" s="5" t="s">
        <v>16</v>
      </c>
      <c r="B17" s="35"/>
      <c r="C17" s="35"/>
      <c r="D17" s="5"/>
    </row>
    <row r="18" ht="13.95" customHeight="1">
      <c r="A18" s="6" t="s">
        <v>17</v>
      </c>
      <c r="B18" s="7"/>
      <c r="C18" s="7"/>
      <c r="D18" s="7"/>
    </row>
    <row r="19">
      <c r="A19" s="4"/>
      <c r="B19" s="92" t="s">
        <v>368</v>
      </c>
      <c r="C19" s="92"/>
      <c r="D19" s="39"/>
    </row>
    <row r="20">
      <c r="A20" s="4" t="s">
        <v>19</v>
      </c>
      <c r="B20" s="93"/>
      <c r="C20" s="93"/>
      <c r="D20" s="5"/>
    </row>
    <row r="21">
      <c r="A21" s="4" t="s">
        <v>20</v>
      </c>
      <c r="B21" s="93"/>
      <c r="C21" s="93"/>
      <c r="D21" s="5"/>
    </row>
    <row r="22">
      <c r="A22" s="4" t="s">
        <v>21</v>
      </c>
      <c r="B22" s="93"/>
      <c r="C22" s="93"/>
      <c r="D22" s="5"/>
    </row>
    <row r="23">
      <c r="A23" s="4" t="s">
        <v>22</v>
      </c>
      <c r="B23" s="93"/>
      <c r="C23" s="93"/>
      <c r="D23" s="5"/>
    </row>
    <row r="24">
      <c r="A24" s="4" t="s">
        <v>23</v>
      </c>
      <c r="B24" s="93"/>
      <c r="C24" s="93"/>
      <c r="D24" s="5"/>
    </row>
    <row r="25">
      <c r="A25" s="6" t="s">
        <v>24</v>
      </c>
      <c r="B25" s="94"/>
      <c r="C25" s="94"/>
      <c r="D25" s="7"/>
    </row>
  </sheetData>
  <mergeCells>
    <mergeCell ref="B19:C19"/>
    <mergeCell ref="B20:C25"/>
    <mergeCell ref="B13:C13"/>
  </mergeCell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64"/>
  <sheetViews>
    <sheetView zoomScaleNormal="100" workbookViewId="0">
      <selection activeCell="N20" sqref="N20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  <col min="7" max="7" bestFit="1" width="36.44140625" customWidth="1"/>
    <col min="8" max="8" bestFit="1" width="11.21875" customWidth="1"/>
    <col min="9" max="9" bestFit="1" width="12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14.861432555184484</v>
      </c>
      <c r="D3" s="11"/>
      <c r="E3" s="12"/>
      <c r="F3" s="12"/>
      <c r="G3" s="12"/>
    </row>
    <row r="4" ht="13.95" customHeight="1">
      <c r="A4" s="11" t="s">
        <v>3</v>
      </c>
      <c r="B4" s="15">
        <v>7634.5956710991059</v>
      </c>
      <c r="C4" s="15">
        <v>5191.0738569630794</v>
      </c>
      <c r="D4" s="11"/>
      <c r="E4" s="12"/>
      <c r="F4" s="12"/>
      <c r="G4" s="12"/>
      <c r="K4" s="89"/>
      <c r="L4" s="89"/>
    </row>
    <row r="5" ht="13.95" customHeight="1">
      <c r="A5" s="11" t="s">
        <v>4</v>
      </c>
      <c r="B5" s="15"/>
      <c r="C5" s="15">
        <v>-32.005909931629006</v>
      </c>
      <c r="D5" s="11"/>
      <c r="E5" s="12"/>
      <c r="F5" s="12"/>
      <c r="G5" s="12"/>
      <c r="K5" s="90"/>
      <c r="L5" s="90"/>
      <c r="M5" s="3"/>
    </row>
    <row r="6" ht="13.95" customHeight="1">
      <c r="A6" s="11" t="s">
        <v>5</v>
      </c>
      <c r="B6" s="15"/>
      <c r="C6" s="15">
        <v>-30.994143087635695</v>
      </c>
      <c r="D6" s="11"/>
      <c r="E6" s="12"/>
      <c r="F6" s="12"/>
      <c r="G6" s="12"/>
      <c r="K6" s="90"/>
      <c r="L6" s="90"/>
      <c r="M6" s="3"/>
    </row>
    <row r="7" ht="13.95" customHeight="1">
      <c r="A7" s="11" t="s">
        <v>6</v>
      </c>
      <c r="B7" s="15"/>
      <c r="C7" s="15">
        <v>-30.927002630891089</v>
      </c>
      <c r="D7" s="11"/>
      <c r="E7" s="12"/>
      <c r="F7" s="12"/>
      <c r="G7" s="12"/>
      <c r="K7" s="90"/>
      <c r="L7" s="90"/>
      <c r="M7" s="3"/>
    </row>
    <row r="8" ht="13.95" customHeight="1">
      <c r="A8" s="11" t="s">
        <v>7</v>
      </c>
      <c r="B8" s="15"/>
      <c r="C8" s="15">
        <v>-31.017376813835629</v>
      </c>
      <c r="D8" s="11"/>
      <c r="E8" s="12"/>
      <c r="F8" s="12"/>
      <c r="G8" s="12"/>
      <c r="J8" s="82"/>
      <c r="K8" s="90"/>
      <c r="L8" s="90"/>
      <c r="M8" s="3"/>
    </row>
    <row r="9" ht="13.95" customHeight="1">
      <c r="A9" s="41" t="s">
        <v>8</v>
      </c>
      <c r="B9" s="42"/>
      <c r="C9" s="42">
        <v>-20.883818863164517</v>
      </c>
      <c r="D9" s="41"/>
      <c r="E9" s="12"/>
      <c r="F9" s="12"/>
      <c r="G9" s="79"/>
      <c r="H9" s="79"/>
      <c r="I9" s="79"/>
      <c r="J9" s="79"/>
      <c r="K9" s="90"/>
      <c r="L9" s="90"/>
      <c r="M9" s="3"/>
    </row>
    <row r="10" ht="13.95" customHeight="1">
      <c r="A10" s="41" t="s">
        <v>9</v>
      </c>
      <c r="B10" s="42"/>
      <c r="C10" s="42">
        <v>-28.071989899917348</v>
      </c>
      <c r="D10" s="41"/>
      <c r="E10" s="12"/>
      <c r="F10" s="12"/>
      <c r="G10" s="79"/>
      <c r="H10" s="79"/>
      <c r="I10" s="79"/>
      <c r="J10" s="79"/>
      <c r="K10" s="90"/>
      <c r="L10" s="90"/>
      <c r="M10" s="3"/>
    </row>
    <row r="11" ht="13.95" customHeight="1">
      <c r="A11" s="41" t="s">
        <v>10</v>
      </c>
      <c r="B11" s="42"/>
      <c r="C11" s="42">
        <v>-52.950072216347976</v>
      </c>
      <c r="D11" s="41"/>
      <c r="E11" s="12"/>
      <c r="F11" s="12"/>
      <c r="G11" s="79"/>
      <c r="H11" s="79"/>
      <c r="I11" s="79"/>
      <c r="J11" s="79"/>
      <c r="K11" s="90"/>
      <c r="L11" s="90"/>
      <c r="M11" s="3"/>
    </row>
    <row r="12" ht="13.95" customHeight="1">
      <c r="A12" s="41" t="s">
        <v>11</v>
      </c>
      <c r="B12" s="42"/>
      <c r="C12" s="42">
        <v>-19.541038805419031</v>
      </c>
      <c r="D12" s="41"/>
      <c r="E12" s="12"/>
      <c r="F12" s="12"/>
      <c r="G12" s="79"/>
      <c r="H12" s="79"/>
      <c r="I12" s="79"/>
      <c r="J12" s="79"/>
      <c r="K12" s="90"/>
      <c r="L12" s="90"/>
      <c r="M12" s="3"/>
    </row>
    <row r="13" ht="13.95" customHeight="1">
      <c r="A13" s="40"/>
      <c r="B13" s="95" t="s">
        <v>12</v>
      </c>
      <c r="C13" s="96"/>
      <c r="D13" s="40"/>
      <c r="E13" s="12"/>
      <c r="F13" s="12"/>
      <c r="G13" s="79"/>
      <c r="H13" s="79"/>
      <c r="I13" s="79"/>
      <c r="J13" s="79"/>
      <c r="K13" s="90"/>
      <c r="L13" s="90"/>
      <c r="M13" s="3"/>
    </row>
    <row r="14" ht="13.95" customHeight="1">
      <c r="A14" s="11" t="s">
        <v>13</v>
      </c>
      <c r="B14" s="15">
        <v>381.14675056787365</v>
      </c>
      <c r="C14" s="15">
        <v>178.18401705816279</v>
      </c>
      <c r="D14" s="11"/>
      <c r="E14" s="12"/>
      <c r="F14" s="12"/>
      <c r="G14" s="79"/>
      <c r="H14" s="79"/>
      <c r="I14" s="79"/>
      <c r="J14" s="79"/>
      <c r="K14" s="90"/>
      <c r="L14" s="90"/>
      <c r="M14" s="3"/>
    </row>
    <row r="15" ht="13.95" customHeight="1">
      <c r="A15" s="11" t="s">
        <v>14</v>
      </c>
      <c r="B15" s="15">
        <v>58.508709359349822</v>
      </c>
      <c r="C15" s="15">
        <v>31.289958909991096</v>
      </c>
      <c r="D15" s="11"/>
      <c r="E15" s="12"/>
      <c r="F15" s="12"/>
      <c r="G15" s="79"/>
      <c r="H15" s="79"/>
      <c r="I15" s="79"/>
      <c r="J15" s="79"/>
      <c r="K15" s="90"/>
      <c r="L15" s="90"/>
      <c r="M15" s="3"/>
    </row>
    <row r="16" ht="13.95" customHeight="1">
      <c r="A16" s="11" t="s">
        <v>15</v>
      </c>
      <c r="B16" s="15">
        <v>208.13659508546473</v>
      </c>
      <c r="C16" s="15">
        <v>91.138975321645376</v>
      </c>
      <c r="D16" s="11"/>
      <c r="E16" s="12"/>
      <c r="F16" s="12"/>
      <c r="G16" s="79"/>
      <c r="H16" s="79"/>
      <c r="I16" s="79"/>
      <c r="J16" s="79"/>
      <c r="K16" s="90"/>
      <c r="L16" s="90"/>
      <c r="M16" s="3"/>
    </row>
    <row r="17" ht="13.95" customHeight="1">
      <c r="A17" s="11" t="s">
        <v>16</v>
      </c>
      <c r="B17" s="15">
        <v>3935.191300888112</v>
      </c>
      <c r="C17" s="15">
        <v>1723.7288078759978</v>
      </c>
      <c r="D17" s="11"/>
      <c r="E17" s="12"/>
      <c r="F17" s="12"/>
      <c r="G17" s="79"/>
      <c r="H17" s="79"/>
      <c r="I17" s="79"/>
      <c r="J17" s="79"/>
      <c r="K17" s="90"/>
      <c r="L17" s="90"/>
      <c r="M17" s="3"/>
    </row>
    <row r="18" ht="13.95" customHeight="1">
      <c r="A18" s="16" t="s">
        <v>17</v>
      </c>
      <c r="B18" s="19">
        <v>4524.474646541451</v>
      </c>
      <c r="C18" s="19">
        <v>1993.051800255806</v>
      </c>
      <c r="D18" s="16"/>
      <c r="E18" s="12"/>
      <c r="F18" s="12"/>
      <c r="G18" s="79"/>
      <c r="H18" s="79"/>
      <c r="I18" s="79"/>
      <c r="J18" s="79"/>
      <c r="K18" s="90"/>
      <c r="L18" s="90"/>
      <c r="M18" s="3"/>
    </row>
    <row r="19" ht="13.95" customHeight="1">
      <c r="A19" s="11"/>
      <c r="B19" s="98" t="s">
        <v>18</v>
      </c>
      <c r="C19" s="98">
        <v>40.869496684336276</v>
      </c>
      <c r="D19" s="36"/>
      <c r="E19" s="12"/>
      <c r="F19" s="12"/>
      <c r="G19" s="79"/>
      <c r="H19" s="79"/>
      <c r="I19" s="79"/>
      <c r="J19" s="79"/>
      <c r="K19" s="90"/>
      <c r="L19" s="90"/>
      <c r="M19" s="3"/>
    </row>
    <row r="20" ht="13.95" customHeight="1">
      <c r="A20" s="11" t="s">
        <v>19</v>
      </c>
      <c r="B20" s="97">
        <v>2531.4228462856449</v>
      </c>
      <c r="C20" s="97">
        <v>134.71579422193742</v>
      </c>
      <c r="D20" s="11"/>
      <c r="E20" s="12"/>
      <c r="F20" s="12"/>
      <c r="G20" s="79"/>
      <c r="H20" s="79"/>
      <c r="I20" s="79"/>
      <c r="J20" s="79"/>
      <c r="K20" s="90"/>
      <c r="L20" s="90"/>
      <c r="M20" s="3"/>
    </row>
    <row r="21" ht="13.95" customHeight="1">
      <c r="A21" s="11" t="s">
        <v>20</v>
      </c>
      <c r="B21" s="97">
        <v>1402.3221459128567</v>
      </c>
      <c r="C21" s="97">
        <v>2021.0507541073941</v>
      </c>
      <c r="D21" s="11"/>
      <c r="E21" s="12"/>
      <c r="F21" s="12"/>
      <c r="G21" s="79"/>
      <c r="H21" s="79"/>
      <c r="I21" s="79"/>
      <c r="J21" s="79"/>
    </row>
    <row r="22" ht="13.95" customHeight="1">
      <c r="A22" s="11" t="s">
        <v>21</v>
      </c>
      <c r="B22" s="97">
        <v>78.601766393723238</v>
      </c>
      <c r="C22" s="97">
        <v>2410.9991756102418</v>
      </c>
      <c r="D22" s="11"/>
      <c r="E22" s="12"/>
      <c r="F22" s="12"/>
      <c r="G22" s="79"/>
      <c r="H22" s="79"/>
      <c r="I22" s="79"/>
      <c r="J22" s="79"/>
    </row>
    <row r="23">
      <c r="A23" s="11" t="s">
        <v>22</v>
      </c>
      <c r="B23" s="97">
        <v>9.0708835984572822</v>
      </c>
      <c r="C23" s="97"/>
      <c r="D23" s="11"/>
      <c r="E23" s="12"/>
      <c r="F23" s="12"/>
      <c r="G23" s="79"/>
      <c r="H23" s="79"/>
      <c r="I23" s="79"/>
      <c r="J23" s="79"/>
    </row>
    <row r="24" ht="13.95" customHeight="1">
      <c r="A24" s="11" t="s">
        <v>23</v>
      </c>
      <c r="B24" s="97">
        <v>808.71650322327969</v>
      </c>
      <c r="C24" s="97"/>
      <c r="D24" s="11"/>
      <c r="E24" s="12"/>
      <c r="F24" s="12"/>
      <c r="G24" s="79"/>
      <c r="H24" s="79"/>
      <c r="I24" s="79"/>
      <c r="J24" s="79"/>
    </row>
    <row r="25" ht="13.95" customHeight="1">
      <c r="A25" s="16" t="s">
        <v>24</v>
      </c>
      <c r="B25" s="99">
        <v>232.71154715732791</v>
      </c>
      <c r="C25" s="99"/>
      <c r="D25" s="16"/>
      <c r="E25" s="12"/>
      <c r="F25" s="12"/>
      <c r="G25" s="79"/>
      <c r="H25" s="79"/>
      <c r="I25" s="79"/>
      <c r="J25" s="79"/>
    </row>
    <row r="26">
      <c r="A26" s="12"/>
      <c r="B26" s="12"/>
      <c r="C26" s="12"/>
      <c r="D26" s="12"/>
      <c r="E26" s="12"/>
      <c r="F26" s="12"/>
      <c r="G26" s="79"/>
      <c r="H26" s="79"/>
      <c r="I26" s="79"/>
      <c r="J26" s="79"/>
    </row>
    <row r="27">
      <c r="A27" s="12"/>
      <c r="B27" s="12"/>
      <c r="C27" s="12"/>
      <c r="D27" s="12"/>
      <c r="E27" s="12"/>
      <c r="F27" s="12"/>
      <c r="G27" s="79"/>
      <c r="H27" s="79"/>
      <c r="I27" s="79"/>
      <c r="J27" s="79"/>
    </row>
    <row r="28">
      <c r="A28" s="12"/>
      <c r="B28" s="12"/>
      <c r="C28" s="12"/>
      <c r="D28" s="12"/>
      <c r="E28" s="12"/>
      <c r="F28" s="12"/>
      <c r="G28" s="79"/>
      <c r="H28" s="79"/>
      <c r="I28" s="79"/>
      <c r="J28" s="79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</sheetData>
  <mergeCells>
    <mergeCell ref="B13:C13"/>
    <mergeCell ref="B20:C20"/>
    <mergeCell ref="B19:C19"/>
    <mergeCell ref="B24:C24"/>
    <mergeCell ref="B25:C25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33.64137724988052</v>
      </c>
      <c r="D3" s="11"/>
      <c r="E3" s="12"/>
      <c r="F3" s="12"/>
      <c r="G3" s="12"/>
    </row>
    <row r="4" ht="13.95" customHeight="1">
      <c r="A4" s="11" t="s">
        <v>3</v>
      </c>
      <c r="B4" s="15">
        <v>3557.9454881392821</v>
      </c>
      <c r="C4" s="15">
        <v>2170.4105205537517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-38.998207595113463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-37.552344353706225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-37.40959096801042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-37.524465148161127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-42.301005212885492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-31.528864066879159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-56.397315542346128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-17.117650029536545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244.0091794654962</v>
      </c>
      <c r="C14" s="15">
        <v>100.96435283317992</v>
      </c>
      <c r="D14" s="11"/>
      <c r="E14" s="12"/>
      <c r="F14" s="12"/>
      <c r="G14" s="12"/>
    </row>
    <row r="15" ht="13.95" customHeight="1">
      <c r="A15" s="11" t="s">
        <v>14</v>
      </c>
      <c r="B15" s="15">
        <v>35.429042984679256</v>
      </c>
      <c r="C15" s="15">
        <v>14.643165245233432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4589.58072544143</v>
      </c>
      <c r="C17" s="15">
        <v>2480.66660201854</v>
      </c>
      <c r="D17" s="11"/>
      <c r="E17" s="12"/>
      <c r="F17" s="12"/>
      <c r="G17" s="12"/>
    </row>
    <row r="18" ht="13.95" customHeight="1">
      <c r="A18" s="16" t="s">
        <v>17</v>
      </c>
      <c r="B18" s="19">
        <v>4833.5899049069267</v>
      </c>
      <c r="C18" s="19">
        <v>2581.6309548517197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22.176891967499547</v>
      </c>
      <c r="D19" s="17"/>
      <c r="E19" s="12"/>
      <c r="F19" s="12"/>
      <c r="G19" s="12"/>
    </row>
    <row r="20" ht="13.95" customHeight="1">
      <c r="A20" s="11" t="s">
        <v>19</v>
      </c>
      <c r="B20" s="97">
        <v>2251.958950055207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1815.1263257366304</v>
      </c>
      <c r="C21" s="100">
        <v>1600.85236107997</v>
      </c>
      <c r="D21" s="11"/>
      <c r="E21" s="12"/>
      <c r="F21" s="12"/>
      <c r="G21" s="12"/>
    </row>
    <row r="22" ht="13.95" customHeight="1">
      <c r="A22" s="11" t="s">
        <v>21</v>
      </c>
      <c r="B22" s="100">
        <v>50.629172733120747</v>
      </c>
      <c r="C22" s="100">
        <v>1743.647666038795</v>
      </c>
      <c r="D22" s="11"/>
      <c r="E22" s="12"/>
      <c r="F22" s="12"/>
      <c r="G22" s="12"/>
    </row>
    <row r="23" ht="13.95" customHeight="1">
      <c r="A23" s="11" t="s">
        <v>22</v>
      </c>
      <c r="B23" s="100">
        <v>7.4913188523328316</v>
      </c>
      <c r="C23" s="100"/>
      <c r="D23" s="11"/>
      <c r="E23" s="12"/>
      <c r="F23" s="18"/>
      <c r="G23" s="12"/>
    </row>
    <row r="24" ht="13.95" customHeight="1">
      <c r="A24" s="11" t="s">
        <v>23</v>
      </c>
      <c r="B24" s="100">
        <v>80.282828339434246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298.42930439368877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8.7821825147837771</v>
      </c>
      <c r="D3" s="11"/>
      <c r="E3" s="12"/>
      <c r="F3" s="12"/>
      <c r="G3" s="12"/>
    </row>
    <row r="4" ht="13.95" customHeight="1">
      <c r="A4" s="11" t="s">
        <v>3</v>
      </c>
      <c r="B4" s="15">
        <v>4071.4677774466459</v>
      </c>
      <c r="C4" s="15">
        <v>3090.1195561313948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-24.103057544782725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-23.144263378611196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-23.108233924995393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-23.250330301704381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-11.489713236993126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-19.981597300032796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-51.833852455177862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-5.2220487678341643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317.48486739214121</v>
      </c>
      <c r="C14" s="15">
        <v>149.57953658138237</v>
      </c>
      <c r="D14" s="11"/>
      <c r="E14" s="12"/>
      <c r="F14" s="12"/>
      <c r="G14" s="12"/>
    </row>
    <row r="15" ht="13.95" customHeight="1">
      <c r="A15" s="11" t="s">
        <v>14</v>
      </c>
      <c r="B15" s="15">
        <v>47.523613472871176</v>
      </c>
      <c r="C15" s="15">
        <v>25.16860384371908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1388.2128771677717</v>
      </c>
      <c r="C17" s="15">
        <v>577.42352201272649</v>
      </c>
      <c r="D17" s="11"/>
      <c r="E17" s="12"/>
      <c r="F17" s="12"/>
      <c r="G17" s="12"/>
    </row>
    <row r="18" ht="13.95" customHeight="1">
      <c r="A18" s="16" t="s">
        <v>17</v>
      </c>
      <c r="B18" s="19">
        <v>1705.6977445599132</v>
      </c>
      <c r="C18" s="19">
        <v>727.00305859410889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32.493944047853113</v>
      </c>
      <c r="D19" s="17"/>
      <c r="E19" s="12"/>
      <c r="F19" s="12"/>
      <c r="G19" s="12"/>
    </row>
    <row r="20" ht="13.95" customHeight="1">
      <c r="A20" s="11" t="s">
        <v>19</v>
      </c>
      <c r="B20" s="97">
        <v>978.6946859658043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394.77117844397725</v>
      </c>
      <c r="C21" s="100">
        <v>838.05799199554076</v>
      </c>
      <c r="D21" s="11"/>
      <c r="E21" s="12"/>
      <c r="F21" s="12"/>
      <c r="G21" s="12"/>
    </row>
    <row r="22" ht="13.95" customHeight="1">
      <c r="A22" s="11" t="s">
        <v>21</v>
      </c>
      <c r="B22" s="100">
        <v>83.532301120653926</v>
      </c>
      <c r="C22" s="100">
        <v>1054.2803474461334</v>
      </c>
      <c r="D22" s="11"/>
      <c r="E22" s="12"/>
      <c r="F22" s="12"/>
      <c r="G22" s="12"/>
    </row>
    <row r="23" ht="13.95" customHeight="1">
      <c r="A23" s="11" t="s">
        <v>22</v>
      </c>
      <c r="B23" s="100">
        <v>11.305612525404264</v>
      </c>
      <c r="C23" s="100"/>
      <c r="D23" s="11"/>
      <c r="E23" s="12"/>
      <c r="F23" s="12"/>
      <c r="G23" s="12"/>
    </row>
    <row r="24" ht="13.95" customHeight="1">
      <c r="A24" s="11" t="s">
        <v>23</v>
      </c>
      <c r="B24" s="100">
        <v>444.00184585600994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45.083748019758957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4.7889824140580739</v>
      </c>
      <c r="D3" s="11"/>
      <c r="E3" s="12"/>
      <c r="F3" s="12"/>
      <c r="G3" s="12"/>
    </row>
    <row r="4" ht="13.95" customHeight="1">
      <c r="A4" s="11" t="s">
        <v>3</v>
      </c>
      <c r="B4" s="15">
        <v>3183.9063084069467</v>
      </c>
      <c r="C4" s="15">
        <v>2672.5128879955441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-16.061823774810634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-15.910044356412378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-15.873410397159116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-16.115191194515067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-18.030487749546541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-13.763097499526333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-41.982696601675876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8.3877204212718048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145.69254040120367</v>
      </c>
      <c r="C14" s="15">
        <v>81.031303824166358</v>
      </c>
      <c r="D14" s="11"/>
      <c r="E14" s="12"/>
      <c r="F14" s="12"/>
      <c r="G14" s="12"/>
    </row>
    <row r="15" ht="13.95" customHeight="1">
      <c r="A15" s="11" t="s">
        <v>14</v>
      </c>
      <c r="B15" s="15">
        <v>20.405032396963772</v>
      </c>
      <c r="C15" s="15">
        <v>10.366728279213238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256.70636823307257</v>
      </c>
      <c r="C17" s="15">
        <v>210.57207714501396</v>
      </c>
      <c r="D17" s="11"/>
      <c r="E17" s="12"/>
      <c r="F17" s="12"/>
      <c r="G17" s="12"/>
    </row>
    <row r="18" ht="13.95" customHeight="1">
      <c r="A18" s="16" t="s">
        <v>17</v>
      </c>
      <c r="B18" s="19">
        <v>402.39890863427621</v>
      </c>
      <c r="C18" s="19">
        <v>291.60338096918031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11.159358046275631</v>
      </c>
      <c r="D19" s="17"/>
      <c r="E19" s="12"/>
      <c r="F19" s="12"/>
      <c r="G19" s="12"/>
    </row>
    <row r="20" ht="13.95" customHeight="1">
      <c r="A20" s="11" t="s">
        <v>19</v>
      </c>
      <c r="B20" s="97">
        <v>110.7955276650959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64.021844853432668</v>
      </c>
      <c r="C21" s="100">
        <v>203.50900764785456</v>
      </c>
      <c r="D21" s="11"/>
      <c r="E21" s="12"/>
      <c r="F21" s="12"/>
      <c r="G21" s="12"/>
    </row>
    <row r="22" ht="13.95" customHeight="1">
      <c r="A22" s="11" t="s">
        <v>21</v>
      </c>
      <c r="B22" s="100">
        <v>32.2647128040933</v>
      </c>
      <c r="C22" s="100">
        <v>289.30826032383169</v>
      </c>
      <c r="D22" s="11"/>
      <c r="E22" s="12"/>
      <c r="F22" s="12"/>
      <c r="G22" s="12"/>
    </row>
    <row r="23" ht="13.95" customHeight="1">
      <c r="A23" s="11" t="s">
        <v>22</v>
      </c>
      <c r="B23" s="100">
        <v>6.74999413367708</v>
      </c>
      <c r="C23" s="100"/>
      <c r="D23" s="11"/>
      <c r="E23" s="12"/>
      <c r="F23" s="12"/>
      <c r="G23" s="12"/>
    </row>
    <row r="24" ht="13.95" customHeight="1">
      <c r="A24" s="11" t="s">
        <v>23</v>
      </c>
      <c r="B24" s="100">
        <v>-0.15111918851152567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7.9100950624043529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-0.38590597537672133</v>
      </c>
      <c r="D3" s="11"/>
      <c r="E3" s="12"/>
      <c r="F3" s="12"/>
      <c r="G3" s="12"/>
    </row>
    <row r="4" ht="13.95" customHeight="1">
      <c r="A4" s="11" t="s">
        <v>3</v>
      </c>
      <c r="B4" s="15">
        <v>1866.9110456119277</v>
      </c>
      <c r="C4" s="15">
        <v>1791.1741327456655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-4.0568035121050672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-4.0628856612171971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-4.0645837904145115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-4.0654598962617028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-4.0742627943750831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-3.9965523334339004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-4.2001947120589023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-4.1460489792761184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62.9826887513274</v>
      </c>
      <c r="C14" s="15">
        <v>60.374587542698478</v>
      </c>
      <c r="D14" s="11"/>
      <c r="E14" s="12"/>
      <c r="F14" s="12"/>
      <c r="G14" s="12"/>
    </row>
    <row r="15" ht="13.95" customHeight="1">
      <c r="A15" s="11" t="s">
        <v>14</v>
      </c>
      <c r="B15" s="15">
        <v>32.159736684682628</v>
      </c>
      <c r="C15" s="15">
        <v>30.846334588452883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0.86151438305093053</v>
      </c>
      <c r="C17" s="15">
        <v>0.82538336186159567</v>
      </c>
      <c r="D17" s="11"/>
      <c r="E17" s="12"/>
      <c r="F17" s="12"/>
      <c r="G17" s="12"/>
    </row>
    <row r="18" ht="13.95" customHeight="1">
      <c r="A18" s="16" t="s">
        <v>17</v>
      </c>
      <c r="B18" s="19">
        <v>63.844203134378326</v>
      </c>
      <c r="C18" s="19">
        <v>61.199970904560075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26.984720783996725</v>
      </c>
      <c r="D19" s="17"/>
      <c r="E19" s="12"/>
      <c r="F19" s="12"/>
      <c r="G19" s="12"/>
    </row>
    <row r="20" ht="13.95" customHeight="1">
      <c r="A20" s="11" t="s">
        <v>19</v>
      </c>
      <c r="B20" s="97">
        <v>2.6442322298182503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2.5939169746650386</v>
      </c>
      <c r="C21" s="100">
        <v>0.87505758775640174</v>
      </c>
      <c r="D21" s="11"/>
      <c r="E21" s="12"/>
      <c r="F21" s="12"/>
      <c r="G21" s="12"/>
    </row>
    <row r="22" ht="13.95" customHeight="1">
      <c r="A22" s="11" t="s">
        <v>21</v>
      </c>
      <c r="B22" s="100">
        <v>0.0049891653497108881</v>
      </c>
      <c r="C22" s="100">
        <v>54.338490728464194</v>
      </c>
      <c r="D22" s="11"/>
      <c r="E22" s="12"/>
      <c r="F22" s="12"/>
      <c r="G22" s="12"/>
    </row>
    <row r="23" ht="13.95" customHeight="1">
      <c r="A23" s="11" t="s">
        <v>22</v>
      </c>
      <c r="B23" s="100">
        <v>0.0059608985706105129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0.039365191232894142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-0.0978369451992811</v>
      </c>
      <c r="D3" s="11"/>
      <c r="E3" s="12"/>
      <c r="F3" s="12"/>
      <c r="G3" s="12"/>
    </row>
    <row r="4" ht="13.95" customHeight="1">
      <c r="A4" s="11" t="s">
        <v>3</v>
      </c>
      <c r="B4" s="15">
        <v>2563.6415632779349</v>
      </c>
      <c r="C4" s="15">
        <v>2563.2251236054262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-0.016244067754001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-0.031912085998120343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-0.035803462517103313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-0.030179998406643094</v>
      </c>
      <c r="D8" s="11"/>
      <c r="E8" s="12"/>
      <c r="F8" s="12"/>
      <c r="G8" s="12"/>
    </row>
    <row r="9" ht="13.95" customHeight="1">
      <c r="A9" s="41" t="s">
        <v>8</v>
      </c>
      <c r="B9" s="42"/>
      <c r="C9" s="42" t="e">
        <f>NA()</f>
        <v>#N/A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0.10157426634687106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-0.1339893277692239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-0.11957824641799508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330.16689101951351</v>
      </c>
      <c r="C14" s="15">
        <v>329.72855057946197</v>
      </c>
      <c r="D14" s="11"/>
      <c r="E14" s="12"/>
      <c r="F14" s="12"/>
      <c r="G14" s="12"/>
    </row>
    <row r="15" ht="13.95" customHeight="1">
      <c r="A15" s="11" t="s">
        <v>14</v>
      </c>
      <c r="B15" s="15">
        <v>5.4712950909343077</v>
      </c>
      <c r="C15" s="15">
        <v>5.4684228087401783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2.6448787548244685</v>
      </c>
      <c r="C17" s="15">
        <v>2.6412763404405943</v>
      </c>
      <c r="D17" s="11"/>
      <c r="E17" s="12"/>
      <c r="F17" s="12"/>
      <c r="G17" s="12"/>
    </row>
    <row r="18" ht="13.95" customHeight="1">
      <c r="A18" s="16" t="s">
        <v>17</v>
      </c>
      <c r="B18" s="19">
        <v>332.811769774338</v>
      </c>
      <c r="C18" s="19">
        <v>332.36982691990255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5.1601992182967713</v>
      </c>
      <c r="D19" s="17"/>
      <c r="E19" s="12"/>
      <c r="F19" s="12"/>
      <c r="G19" s="12"/>
    </row>
    <row r="20" ht="13.95" customHeight="1">
      <c r="A20" s="11" t="s">
        <v>19</v>
      </c>
      <c r="B20" s="97">
        <v>0.44194285443546732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0.10620717818225624</v>
      </c>
      <c r="C21" s="100">
        <v>1.9484136821818368</v>
      </c>
      <c r="D21" s="11"/>
      <c r="E21" s="12"/>
      <c r="F21" s="12"/>
      <c r="G21" s="12"/>
    </row>
    <row r="22" ht="13.95" customHeight="1">
      <c r="A22" s="11" t="s">
        <v>21</v>
      </c>
      <c r="B22" s="100">
        <v>0.010110195234679636</v>
      </c>
      <c r="C22" s="100">
        <v>228.24959055066458</v>
      </c>
      <c r="D22" s="11"/>
      <c r="E22" s="12"/>
      <c r="F22" s="12"/>
      <c r="G22" s="12"/>
    </row>
    <row r="23" ht="13.95" customHeight="1">
      <c r="A23" s="11" t="s">
        <v>22</v>
      </c>
      <c r="B23" s="100">
        <v>0.001221045422862245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0.32440443559571358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-0.0079035633203772271</v>
      </c>
      <c r="D3" s="11"/>
      <c r="E3" s="12"/>
      <c r="F3" s="12"/>
      <c r="G3" s="12"/>
    </row>
    <row r="4" ht="13.95" customHeight="1">
      <c r="A4" s="11" t="s">
        <v>3</v>
      </c>
      <c r="B4" s="15">
        <v>11687.984425395547</v>
      </c>
      <c r="C4" s="15">
        <v>11687.547829948207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-0.003735421193662436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-0.0014364298354108129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-0.001069398960074075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0.0035333642434576262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0.12731062853303943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-0.054920436827010644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-0.048358195003006532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961.58413717444466</v>
      </c>
      <c r="C14" s="15">
        <v>961.052974917666</v>
      </c>
      <c r="D14" s="11"/>
      <c r="E14" s="12"/>
      <c r="F14" s="12"/>
      <c r="G14" s="12"/>
    </row>
    <row r="15" ht="13.95" customHeight="1">
      <c r="A15" s="11" t="s">
        <v>14</v>
      </c>
      <c r="B15" s="15">
        <v>0.24666611736054947</v>
      </c>
      <c r="C15" s="15">
        <v>0.24649753407301303</v>
      </c>
      <c r="D15" s="11"/>
      <c r="E15" s="12"/>
      <c r="F15" s="12"/>
      <c r="G15" s="12"/>
    </row>
    <row r="16" ht="13.95" customHeight="1">
      <c r="A16" s="11" t="s">
        <v>15</v>
      </c>
      <c r="B16" s="15">
        <v>277.28257947497184</v>
      </c>
      <c r="C16" s="15">
        <v>277.28257947497184</v>
      </c>
      <c r="D16" s="11"/>
      <c r="E16" s="12"/>
      <c r="F16" s="12"/>
      <c r="G16" s="12"/>
    </row>
    <row r="17" ht="13.95" customHeight="1">
      <c r="A17" s="11" t="s">
        <v>16</v>
      </c>
      <c r="B17" s="15">
        <v>65.765424943100356</v>
      </c>
      <c r="C17" s="15">
        <v>65.753684722554723</v>
      </c>
      <c r="D17" s="11"/>
      <c r="E17" s="12"/>
      <c r="F17" s="12"/>
      <c r="G17" s="12"/>
    </row>
    <row r="18" ht="13.95" customHeight="1">
      <c r="A18" s="16" t="s">
        <v>17</v>
      </c>
      <c r="B18" s="19">
        <v>1304.632141592517</v>
      </c>
      <c r="C18" s="19">
        <v>1304.0892391151926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0.055242235960792446</v>
      </c>
      <c r="D19" s="17"/>
      <c r="E19" s="12"/>
      <c r="F19" s="12"/>
      <c r="G19" s="12"/>
    </row>
    <row r="20" ht="13.95" customHeight="1">
      <c r="A20" s="11" t="s">
        <v>19</v>
      </c>
      <c r="B20" s="97">
        <v>0.54290247732433272</v>
      </c>
      <c r="C20" s="97">
        <v>64.461199292816943</v>
      </c>
      <c r="D20" s="11"/>
      <c r="E20" s="12"/>
      <c r="F20" s="12"/>
      <c r="G20" s="12"/>
    </row>
    <row r="21" ht="13.95" customHeight="1">
      <c r="A21" s="11" t="s">
        <v>20</v>
      </c>
      <c r="B21" s="100">
        <v>0</v>
      </c>
      <c r="C21" s="100">
        <v>21.665743687343493</v>
      </c>
      <c r="D21" s="11"/>
      <c r="E21" s="12"/>
      <c r="F21" s="12"/>
      <c r="G21" s="12"/>
    </row>
    <row r="22" ht="13.95" customHeight="1">
      <c r="A22" s="11" t="s">
        <v>21</v>
      </c>
      <c r="B22" s="100">
        <v>0.011201109589278785</v>
      </c>
      <c r="C22" s="100">
        <v>284.57283538027872</v>
      </c>
      <c r="D22" s="11"/>
      <c r="E22" s="12"/>
      <c r="F22" s="12"/>
      <c r="G22" s="12"/>
    </row>
    <row r="23" ht="13.95" customHeight="1">
      <c r="A23" s="11" t="s">
        <v>22</v>
      </c>
      <c r="B23" s="100">
        <v>0.00016594544264249495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0.53153542229241479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-1.6835159703765035</v>
      </c>
      <c r="D3" s="11"/>
      <c r="E3" s="12"/>
      <c r="F3" s="12"/>
      <c r="G3" s="12"/>
    </row>
    <row r="4" ht="13.95" customHeight="1">
      <c r="A4" s="11" t="s">
        <v>3</v>
      </c>
      <c r="B4" s="15">
        <v>363.65611818418353</v>
      </c>
      <c r="C4" s="15">
        <v>363.64251864169472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-0.0037396710267700861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-0.001429045971934606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-0.0010589934826721326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0.0035557275922082354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0.12737260767861081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-0.054934748265356159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-0.048286620703652527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29.915937286426569</v>
      </c>
      <c r="C14" s="15">
        <v>29.899407968608756</v>
      </c>
      <c r="D14" s="11"/>
      <c r="E14" s="12"/>
      <c r="F14" s="12"/>
      <c r="G14" s="12"/>
    </row>
    <row r="15" ht="13.95" customHeight="1">
      <c r="A15" s="11" t="s">
        <v>14</v>
      </c>
      <c r="B15" s="15">
        <v>0.0077321850849818826</v>
      </c>
      <c r="C15" s="15">
        <v>0.0077268454937521637</v>
      </c>
      <c r="D15" s="11"/>
      <c r="E15" s="12"/>
      <c r="F15" s="12"/>
      <c r="G15" s="12"/>
    </row>
    <row r="16" ht="13.95" customHeight="1">
      <c r="A16" s="11" t="s">
        <v>15</v>
      </c>
      <c r="B16" s="15">
        <v>8.627040548309628</v>
      </c>
      <c r="C16" s="15">
        <v>8.627040548309628</v>
      </c>
      <c r="D16" s="11"/>
      <c r="E16" s="12"/>
      <c r="F16" s="12"/>
      <c r="G16" s="12"/>
    </row>
    <row r="17" ht="13.95" customHeight="1">
      <c r="A17" s="11" t="s">
        <v>16</v>
      </c>
      <c r="B17" s="15">
        <v>2.0461008172033042</v>
      </c>
      <c r="C17" s="15">
        <v>2.0457354825729492</v>
      </c>
      <c r="D17" s="11"/>
      <c r="E17" s="12"/>
      <c r="F17" s="12"/>
      <c r="G17" s="12"/>
    </row>
    <row r="18" ht="13.95" customHeight="1">
      <c r="A18" s="16" t="s">
        <v>17</v>
      </c>
      <c r="B18" s="19">
        <v>40.5890786519395</v>
      </c>
      <c r="C18" s="19">
        <v>40.572183999491337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0.032657467118407328</v>
      </c>
      <c r="D19" s="17"/>
      <c r="E19" s="12"/>
      <c r="F19" s="12"/>
      <c r="G19" s="12"/>
    </row>
    <row r="20" ht="13.95" customHeight="1">
      <c r="A20" s="11" t="s">
        <v>19</v>
      </c>
      <c r="B20" s="97">
        <v>0.016894652448165459</v>
      </c>
      <c r="C20" s="97">
        <v>36.124385981193925</v>
      </c>
      <c r="D20" s="11"/>
      <c r="E20" s="12"/>
      <c r="F20" s="12"/>
      <c r="G20" s="12"/>
    </row>
    <row r="21" ht="13.95" customHeight="1">
      <c r="A21" s="11" t="s">
        <v>20</v>
      </c>
      <c r="B21" s="100">
        <v>0</v>
      </c>
      <c r="C21" s="100">
        <v>12.141380491003602</v>
      </c>
      <c r="D21" s="11"/>
      <c r="E21" s="12"/>
      <c r="F21" s="12"/>
      <c r="G21" s="12"/>
    </row>
    <row r="22" ht="13.95" customHeight="1">
      <c r="A22" s="11" t="s">
        <v>21</v>
      </c>
      <c r="B22" s="100">
        <v>0.0003518012488038271</v>
      </c>
      <c r="C22" s="100">
        <v>159.47705376002818</v>
      </c>
      <c r="D22" s="11"/>
      <c r="E22" s="12"/>
      <c r="F22" s="12"/>
      <c r="G22" s="12"/>
    </row>
    <row r="23" ht="13.95" customHeight="1">
      <c r="A23" s="11" t="s">
        <v>22</v>
      </c>
      <c r="B23" s="100">
        <v>5.2577078936011412E-06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0.016537593491468688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71"/>
  <sheetViews>
    <sheetView zoomScaleNormal="100" workbookViewId="0">
      <selection activeCell="I15" sqref="I15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-0.38702039645432951</v>
      </c>
      <c r="D3" s="11"/>
      <c r="E3" s="12"/>
      <c r="F3" s="12"/>
      <c r="G3" s="12"/>
    </row>
    <row r="4" ht="13.95" customHeight="1">
      <c r="A4" s="11" t="s">
        <v>3</v>
      </c>
      <c r="B4" s="15">
        <v>6034.36962083434</v>
      </c>
      <c r="C4" s="15">
        <v>6095.0250540310508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1.0051660240912419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1.0000703275419687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0.999343157503163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0.99722617782334044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1.0034077214436055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1.1272820740304557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0.85132434429888715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1.0392527595066703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71.184956886563242</v>
      </c>
      <c r="C14" s="15">
        <v>71.83683659354169</v>
      </c>
      <c r="D14" s="11"/>
      <c r="E14" s="12"/>
      <c r="F14" s="12"/>
      <c r="G14" s="12"/>
    </row>
    <row r="15" ht="13.95" customHeight="1">
      <c r="A15" s="11" t="s">
        <v>14</v>
      </c>
      <c r="B15" s="15">
        <v>6.1882677870369482</v>
      </c>
      <c r="C15" s="15">
        <v>6.2426780711300722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2.0820409267712696</v>
      </c>
      <c r="C17" s="15">
        <v>2.0963732938526061</v>
      </c>
      <c r="D17" s="11"/>
      <c r="E17" s="12"/>
      <c r="F17" s="12"/>
      <c r="G17" s="12"/>
    </row>
    <row r="18" ht="13.95" customHeight="1">
      <c r="A18" s="16" t="s">
        <v>17</v>
      </c>
      <c r="B18" s="19">
        <v>73.266997813334513</v>
      </c>
      <c r="C18" s="19">
        <v>73.9332098873943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3.620257766139277</v>
      </c>
      <c r="D19" s="17"/>
      <c r="E19" s="12"/>
      <c r="F19" s="12"/>
      <c r="G19" s="12"/>
    </row>
    <row r="20" ht="13.95" customHeight="1">
      <c r="A20" s="11" t="s">
        <v>19</v>
      </c>
      <c r="B20" s="97">
        <v>-0.66621207405978566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-0.73272150501198463</v>
      </c>
      <c r="C21" s="100">
        <v>2.7808086772134217</v>
      </c>
      <c r="D21" s="11"/>
      <c r="E21" s="12"/>
      <c r="F21" s="12"/>
      <c r="G21" s="12"/>
    </row>
    <row r="22" ht="13.95" customHeight="1">
      <c r="A22" s="11" t="s">
        <v>21</v>
      </c>
      <c r="B22" s="100">
        <v>0.015160376181668635</v>
      </c>
      <c r="C22" s="100">
        <v>57.880736990160536</v>
      </c>
      <c r="D22" s="11"/>
      <c r="E22" s="12"/>
      <c r="F22" s="12"/>
      <c r="G22" s="12"/>
    </row>
    <row r="23" ht="13.95" customHeight="1">
      <c r="A23" s="11" t="s">
        <v>22</v>
      </c>
      <c r="B23" s="100">
        <v>0.0073007422330170265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0.0440483125375109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17.319381000437083</v>
      </c>
      <c r="D3" s="11"/>
      <c r="E3" s="12"/>
      <c r="F3" s="12"/>
      <c r="G3" s="12"/>
    </row>
    <row r="4" ht="13.95" customHeight="1">
      <c r="A4" s="11" t="s">
        <v>3</v>
      </c>
      <c r="B4" s="15">
        <v>866.74366881934884</v>
      </c>
      <c r="C4" s="15">
        <v>652.980049777188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-24.662841706515483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-31.842018245460945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-33.256049326862659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-25.732263657703147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-25.55089702890383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-25.505203654781671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-24.517647257826379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-25.744286423161466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5.9183427561805884</v>
      </c>
      <c r="C14" s="15">
        <v>4.4501546485300336</v>
      </c>
      <c r="D14" s="11"/>
      <c r="E14" s="12"/>
      <c r="F14" s="12"/>
      <c r="G14" s="12"/>
    </row>
    <row r="15" ht="13.95" customHeight="1">
      <c r="A15" s="11" t="s">
        <v>14</v>
      </c>
      <c r="B15" s="15">
        <v>1.361250902758552</v>
      </c>
      <c r="C15" s="15">
        <v>1.0109206054113202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-0.12679240213451073</v>
      </c>
      <c r="C17" s="15">
        <v>-0.0797615078689502</v>
      </c>
      <c r="D17" s="11"/>
      <c r="E17" s="12"/>
      <c r="F17" s="12"/>
      <c r="G17" s="12"/>
    </row>
    <row r="18" ht="13.95" customHeight="1">
      <c r="A18" s="16" t="s">
        <v>17</v>
      </c>
      <c r="B18" s="19">
        <v>5.7915503540460778</v>
      </c>
      <c r="C18" s="19">
        <v>4.3703931406610836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1.01104909356947</v>
      </c>
      <c r="D19" s="17"/>
      <c r="E19" s="12"/>
      <c r="F19" s="12"/>
      <c r="G19" s="12"/>
    </row>
    <row r="20" ht="13.95" customHeight="1">
      <c r="A20" s="11" t="s">
        <v>19</v>
      </c>
      <c r="B20" s="97">
        <v>1.4211572133849941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1.84414652043041</v>
      </c>
      <c r="C21" s="100">
        <v>1.0366396513211438</v>
      </c>
      <c r="D21" s="11"/>
      <c r="E21" s="12"/>
      <c r="F21" s="12"/>
      <c r="G21" s="12"/>
    </row>
    <row r="22" ht="13.95" customHeight="1">
      <c r="A22" s="11" t="s">
        <v>21</v>
      </c>
      <c r="B22" s="100">
        <v>-0.049969796734884532</v>
      </c>
      <c r="C22" s="100">
        <v>9.2908985361646259</v>
      </c>
      <c r="D22" s="11"/>
      <c r="E22" s="12"/>
      <c r="F22" s="12"/>
      <c r="G22" s="12"/>
    </row>
    <row r="23" ht="13.95" customHeight="1">
      <c r="A23" s="11" t="s">
        <v>22</v>
      </c>
      <c r="B23" s="100">
        <v>4.9626006536729351E-05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-0.37306913631706845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4.6928727764032674</v>
      </c>
      <c r="D3" s="11"/>
      <c r="E3" s="12"/>
      <c r="F3" s="12"/>
      <c r="G3" s="12"/>
    </row>
    <row r="4" ht="13.95" customHeight="1">
      <c r="A4" s="11" t="s">
        <v>3</v>
      </c>
      <c r="B4" s="15">
        <v>4151.7049512627473</v>
      </c>
      <c r="C4" s="15">
        <v>3583.3050692549514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-13.690758102521627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-16.837524317359442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-17.392089150095181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-14.688979363383936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-14.482032130860279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-14.429148199869335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-13.342906102698604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-14.708910473863778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30.385451118459386</v>
      </c>
      <c r="C14" s="15">
        <v>26.237322823374875</v>
      </c>
      <c r="D14" s="11"/>
      <c r="E14" s="12"/>
      <c r="F14" s="12"/>
      <c r="G14" s="12"/>
    </row>
    <row r="15" ht="13.95" customHeight="1">
      <c r="A15" s="11" t="s">
        <v>14</v>
      </c>
      <c r="B15" s="15">
        <v>6.722397243946407</v>
      </c>
      <c r="C15" s="15">
        <v>5.7340631490188478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-0.60485659106329814</v>
      </c>
      <c r="C17" s="15">
        <v>-0.48879092140463648</v>
      </c>
      <c r="D17" s="11"/>
      <c r="E17" s="12"/>
      <c r="F17" s="12"/>
      <c r="G17" s="12"/>
    </row>
    <row r="18" ht="13.95" customHeight="1">
      <c r="A18" s="16" t="s">
        <v>17</v>
      </c>
      <c r="B18" s="19">
        <v>29.780594527396087</v>
      </c>
      <c r="C18" s="19">
        <v>25.748531901970239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5.3469431879793259</v>
      </c>
      <c r="D19" s="17"/>
      <c r="E19" s="12"/>
      <c r="F19" s="12"/>
      <c r="G19" s="12"/>
    </row>
    <row r="20" ht="13.95" customHeight="1">
      <c r="A20" s="11" t="s">
        <v>19</v>
      </c>
      <c r="B20" s="97">
        <v>4.0320626254258478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5.01431484540453</v>
      </c>
      <c r="C21" s="100">
        <v>5.4894485073001462</v>
      </c>
      <c r="D21" s="11"/>
      <c r="E21" s="12"/>
      <c r="F21" s="12"/>
      <c r="G21" s="12"/>
    </row>
    <row r="22" ht="13.95" customHeight="1">
      <c r="A22" s="11" t="s">
        <v>21</v>
      </c>
      <c r="B22" s="100">
        <v>-0.28759100288928974</v>
      </c>
      <c r="C22" s="100">
        <v>48.9449390728476</v>
      </c>
      <c r="D22" s="11"/>
      <c r="E22" s="12"/>
      <c r="F22" s="12"/>
      <c r="G22" s="12"/>
    </row>
    <row r="23" ht="13.95" customHeight="1">
      <c r="A23" s="11" t="s">
        <v>22</v>
      </c>
      <c r="B23" s="100">
        <v>0.00088255103958031263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-0.695543768128975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1.5079681224016373</v>
      </c>
      <c r="D3" s="11"/>
      <c r="E3" s="12"/>
      <c r="F3" s="12"/>
      <c r="G3" s="12"/>
    </row>
    <row r="4" ht="13.95" customHeight="1">
      <c r="A4" s="11" t="s">
        <v>3</v>
      </c>
      <c r="B4" s="15">
        <v>1099.4235177311471</v>
      </c>
      <c r="C4" s="15">
        <v>1048.7408890619329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-4.60992764406265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-5.9683643019813548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-6.4477802879540524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-5.11220714097016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-4.8589648439360422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-4.80725852032895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-2.9143368576749595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-5.06539585321748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2.989942494643294</v>
      </c>
      <c r="C14" s="15">
        <v>2.8804255080762036</v>
      </c>
      <c r="D14" s="11"/>
      <c r="E14" s="12"/>
      <c r="F14" s="12"/>
      <c r="G14" s="12"/>
    </row>
    <row r="15" ht="13.95" customHeight="1">
      <c r="A15" s="11" t="s">
        <v>14</v>
      </c>
      <c r="B15" s="15">
        <v>0.96434686990403107</v>
      </c>
      <c r="C15" s="15">
        <v>0.91535412820110074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-0.1119739054689505</v>
      </c>
      <c r="C17" s="15">
        <v>-0.10436753413587883</v>
      </c>
      <c r="D17" s="11"/>
      <c r="E17" s="12"/>
      <c r="F17" s="12"/>
      <c r="G17" s="12"/>
    </row>
    <row r="18" ht="13.95" customHeight="1">
      <c r="A18" s="16" t="s">
        <v>17</v>
      </c>
      <c r="B18" s="19">
        <v>2.8779685891743436</v>
      </c>
      <c r="C18" s="19">
        <v>2.7760579739403246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0.79423139260687337</v>
      </c>
      <c r="D19" s="17"/>
      <c r="E19" s="12"/>
      <c r="F19" s="12"/>
      <c r="G19" s="12"/>
    </row>
    <row r="20" ht="13.95" customHeight="1">
      <c r="A20" s="11" t="s">
        <v>19</v>
      </c>
      <c r="B20" s="97">
        <v>0.10191061523401901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0.17176764989851792</v>
      </c>
      <c r="C21" s="100">
        <v>0.85726710256484306</v>
      </c>
      <c r="D21" s="11"/>
      <c r="E21" s="12"/>
      <c r="F21" s="12"/>
      <c r="G21" s="12"/>
    </row>
    <row r="22" ht="13.95" customHeight="1">
      <c r="A22" s="11" t="s">
        <v>21</v>
      </c>
      <c r="B22" s="100">
        <v>-0.039921403676499129</v>
      </c>
      <c r="C22" s="100">
        <v>7.5780639861467272</v>
      </c>
      <c r="D22" s="11"/>
      <c r="E22" s="12"/>
      <c r="F22" s="12"/>
      <c r="G22" s="12"/>
    </row>
    <row r="23" ht="13.95" customHeight="1">
      <c r="A23" s="11" t="s">
        <v>22</v>
      </c>
      <c r="B23" s="100">
        <v>-0.00030666784402569124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-0.02962896314397408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-0.1526168902288072</v>
      </c>
      <c r="D3" s="11"/>
      <c r="E3" s="12"/>
      <c r="F3" s="12"/>
      <c r="G3" s="12"/>
    </row>
    <row r="4" ht="13.95" customHeight="1">
      <c r="A4" s="11" t="s">
        <v>3</v>
      </c>
      <c r="B4" s="15">
        <v>1853.8960731802235</v>
      </c>
      <c r="C4" s="15">
        <v>1836.9910672671051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-0.91186373161248335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-1.225595653769429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-1.2834583949152933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-1.1878779687374608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-0.9495980135106552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-0.888235102124546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-0.61307754715956841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-1.2599252485610668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91.735080624698725</v>
      </c>
      <c r="C14" s="15">
        <v>90.7184642891699</v>
      </c>
      <c r="D14" s="11"/>
      <c r="E14" s="12"/>
      <c r="F14" s="12"/>
      <c r="G14" s="12"/>
    </row>
    <row r="15" ht="13.95" customHeight="1">
      <c r="A15" s="11" t="s">
        <v>14</v>
      </c>
      <c r="B15" s="15">
        <v>2.275785939266862</v>
      </c>
      <c r="C15" s="15">
        <v>2.2504717814763371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0.69569186644629288</v>
      </c>
      <c r="C17" s="15">
        <v>0.6873257989821776</v>
      </c>
      <c r="D17" s="11"/>
      <c r="E17" s="12"/>
      <c r="F17" s="12"/>
      <c r="G17" s="12"/>
    </row>
    <row r="18" ht="13.95" customHeight="1">
      <c r="A18" s="16" t="s">
        <v>17</v>
      </c>
      <c r="B18" s="19">
        <v>92.430772491145021</v>
      </c>
      <c r="C18" s="19">
        <v>91.405790088152074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2.1812104303706525</v>
      </c>
      <c r="D19" s="17"/>
      <c r="E19" s="12"/>
      <c r="F19" s="12"/>
      <c r="G19" s="12"/>
    </row>
    <row r="20" ht="13.95" customHeight="1">
      <c r="A20" s="11" t="s">
        <v>19</v>
      </c>
      <c r="B20" s="97">
        <v>1.0249824029929471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1.1328275303969844</v>
      </c>
      <c r="C21" s="100">
        <v>3.2837936428791465</v>
      </c>
      <c r="D21" s="11"/>
      <c r="E21" s="12"/>
      <c r="F21" s="12"/>
      <c r="G21" s="12"/>
    </row>
    <row r="22" ht="13.95" customHeight="1">
      <c r="A22" s="11" t="s">
        <v>21</v>
      </c>
      <c r="B22" s="100">
        <v>0.10875495345292111</v>
      </c>
      <c r="C22" s="100">
        <v>50.35006386430441</v>
      </c>
      <c r="D22" s="11"/>
      <c r="E22" s="12"/>
      <c r="F22" s="12"/>
      <c r="G22" s="12"/>
    </row>
    <row r="23" ht="13.95" customHeight="1">
      <c r="A23" s="11" t="s">
        <v>22</v>
      </c>
      <c r="B23" s="100">
        <v>-0.0017194019976511173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-0.214880678859298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14.019300110875332</v>
      </c>
      <c r="D3" s="11"/>
      <c r="E3" s="12"/>
      <c r="F3" s="12"/>
      <c r="G3" s="12"/>
    </row>
    <row r="4" ht="13.95" customHeight="1">
      <c r="A4" s="11" t="s">
        <v>3</v>
      </c>
      <c r="B4" s="15">
        <v>7665.7285874518666</v>
      </c>
      <c r="C4" s="15">
        <v>5271.39728727909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-31.234230025989827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-34.062100917210593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-35.013806410099647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-29.255851330317594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-29.079305012110158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-29.023993966426765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-26.795329615612353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-29.211187711693075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25.339796520634245</v>
      </c>
      <c r="C14" s="15">
        <v>18.173324071679936</v>
      </c>
      <c r="D14" s="11"/>
      <c r="E14" s="12"/>
      <c r="F14" s="12"/>
      <c r="G14" s="12"/>
    </row>
    <row r="15" ht="13.95" customHeight="1">
      <c r="A15" s="11" t="s">
        <v>14</v>
      </c>
      <c r="B15" s="15">
        <v>16.260786009145562</v>
      </c>
      <c r="C15" s="15">
        <v>11.506455368896845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-0.87989133634401351</v>
      </c>
      <c r="C17" s="15">
        <v>-0.55359263171403428</v>
      </c>
      <c r="D17" s="11"/>
      <c r="E17" s="12"/>
      <c r="F17" s="12"/>
      <c r="G17" s="12"/>
    </row>
    <row r="18" ht="13.95" customHeight="1">
      <c r="A18" s="16" t="s">
        <v>17</v>
      </c>
      <c r="B18" s="19">
        <v>24.459905184290232</v>
      </c>
      <c r="C18" s="19">
        <v>17.6197314399659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11.871494126201752</v>
      </c>
      <c r="D19" s="17"/>
      <c r="E19" s="12"/>
      <c r="F19" s="12"/>
      <c r="G19" s="12"/>
    </row>
    <row r="20" ht="13.95" customHeight="1">
      <c r="A20" s="11" t="s">
        <v>19</v>
      </c>
      <c r="B20" s="97">
        <v>6.840173744324332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8.3315575881269641</v>
      </c>
      <c r="C21" s="100">
        <v>6.8803297690924552</v>
      </c>
      <c r="D21" s="11"/>
      <c r="E21" s="12"/>
      <c r="F21" s="12"/>
      <c r="G21" s="12"/>
    </row>
    <row r="22" ht="13.95" customHeight="1">
      <c r="A22" s="11" t="s">
        <v>21</v>
      </c>
      <c r="B22" s="100">
        <v>-0.23370712894210516</v>
      </c>
      <c r="C22" s="100">
        <v>76.99765493134295</v>
      </c>
      <c r="D22" s="11"/>
      <c r="E22" s="12"/>
      <c r="F22" s="12"/>
      <c r="G22" s="12"/>
    </row>
    <row r="23" ht="13.95" customHeight="1">
      <c r="A23" s="11" t="s">
        <v>22</v>
      </c>
      <c r="B23" s="100">
        <v>-0.0029007397279912166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-1.2547759751325345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0.99162823217784357</v>
      </c>
      <c r="D3" s="11"/>
      <c r="E3" s="12"/>
      <c r="F3" s="12"/>
      <c r="G3" s="12"/>
    </row>
    <row r="4" ht="13.95" customHeight="1">
      <c r="A4" s="11" t="s">
        <v>3</v>
      </c>
      <c r="B4" s="15">
        <v>6295.31498103701</v>
      </c>
      <c r="C4" s="15">
        <v>6245.543623193118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-0.79060949283418225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-1.4752829987331184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-2.014575391967266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-0.884971551421665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-0.58210858639051732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-0.5278872215299546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0.63826728138038913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-0.85030069193199331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27.987446190943349</v>
      </c>
      <c r="C14" s="15">
        <v>28.022217546446228</v>
      </c>
      <c r="D14" s="11"/>
      <c r="E14" s="12"/>
      <c r="F14" s="12"/>
      <c r="G14" s="12"/>
    </row>
    <row r="15" ht="13.95" customHeight="1">
      <c r="A15" s="11" t="s">
        <v>14</v>
      </c>
      <c r="B15" s="15">
        <v>9.9556452403798357</v>
      </c>
      <c r="C15" s="15">
        <v>9.8642259153633649</v>
      </c>
      <c r="D15" s="11"/>
      <c r="E15" s="12"/>
      <c r="F15" s="12"/>
      <c r="G15" s="12"/>
    </row>
    <row r="16" ht="13.95" customHeight="1">
      <c r="A16" s="11" t="s">
        <v>15</v>
      </c>
      <c r="B16" s="15">
        <v>22.604579809357887</v>
      </c>
      <c r="C16" s="15">
        <v>22.27109828649537</v>
      </c>
      <c r="D16" s="11"/>
      <c r="E16" s="12"/>
      <c r="F16" s="12"/>
      <c r="G16" s="12"/>
    </row>
    <row r="17" ht="13.95" customHeight="1">
      <c r="A17" s="11" t="s">
        <v>16</v>
      </c>
      <c r="B17" s="15">
        <v>0.47129365097662662</v>
      </c>
      <c r="C17" s="15">
        <v>0.46937925427045518</v>
      </c>
      <c r="D17" s="11"/>
      <c r="E17" s="12"/>
      <c r="F17" s="12"/>
      <c r="G17" s="12"/>
    </row>
    <row r="18" ht="13.95" customHeight="1">
      <c r="A18" s="16" t="s">
        <v>17</v>
      </c>
      <c r="B18" s="19">
        <v>51.063319651277858</v>
      </c>
      <c r="C18" s="19">
        <v>50.762695087212059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6.8400087584432878</v>
      </c>
      <c r="D19" s="17"/>
      <c r="E19" s="12"/>
      <c r="F19" s="12"/>
      <c r="G19" s="12"/>
    </row>
    <row r="20" ht="13.95" customHeight="1">
      <c r="A20" s="11" t="s">
        <v>19</v>
      </c>
      <c r="B20" s="97">
        <v>0.3006245640657994</v>
      </c>
      <c r="C20" s="97">
        <v>24.46533044641982</v>
      </c>
      <c r="D20" s="11"/>
      <c r="E20" s="12"/>
      <c r="F20" s="12"/>
      <c r="G20" s="12"/>
    </row>
    <row r="21" ht="13.95" customHeight="1">
      <c r="A21" s="11" t="s">
        <v>20</v>
      </c>
      <c r="B21" s="100">
        <v>0.75332847340405085</v>
      </c>
      <c r="C21" s="100">
        <v>0.82183834908830633</v>
      </c>
      <c r="D21" s="11"/>
      <c r="E21" s="12"/>
      <c r="F21" s="12"/>
      <c r="G21" s="12"/>
    </row>
    <row r="22" ht="13.95" customHeight="1">
      <c r="A22" s="11" t="s">
        <v>21</v>
      </c>
      <c r="B22" s="100">
        <v>-0.24947059866974936</v>
      </c>
      <c r="C22" s="100">
        <v>55.364745162012092</v>
      </c>
      <c r="D22" s="11"/>
      <c r="E22" s="12"/>
      <c r="F22" s="12"/>
      <c r="G22" s="12"/>
    </row>
    <row r="23" ht="13.95" customHeight="1">
      <c r="A23" s="11" t="s">
        <v>22</v>
      </c>
      <c r="B23" s="100">
        <v>0.0033146968786434581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-0.206548007547146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1.5984343021039793</v>
      </c>
      <c r="D3" s="11"/>
      <c r="E3" s="12"/>
      <c r="F3" s="12"/>
      <c r="G3" s="12"/>
    </row>
    <row r="4" ht="13.95" customHeight="1">
      <c r="A4" s="11" t="s">
        <v>3</v>
      </c>
      <c r="B4" s="15">
        <v>7415.2426301363548</v>
      </c>
      <c r="C4" s="15">
        <v>6708.8829643540785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-9.5257795464649178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-10.327627069158506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-10.595970611501093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-9.4998487030970473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-9.2596269831851874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-9.1936471779806581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-9.2976557688156944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-9.3739108573269174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313.62650153993718</v>
      </c>
      <c r="C14" s="15">
        <v>283.93697165307884</v>
      </c>
      <c r="D14" s="11"/>
      <c r="E14" s="12"/>
      <c r="F14" s="12"/>
      <c r="G14" s="12"/>
    </row>
    <row r="15" ht="13.95" customHeight="1">
      <c r="A15" s="11" t="s">
        <v>14</v>
      </c>
      <c r="B15" s="15">
        <v>15.530568866005952</v>
      </c>
      <c r="C15" s="15">
        <v>14.088322293056164</v>
      </c>
      <c r="D15" s="11"/>
      <c r="E15" s="12"/>
      <c r="F15" s="12"/>
      <c r="G15" s="12"/>
    </row>
    <row r="16" ht="13.95" customHeight="1">
      <c r="A16" s="11" t="s">
        <v>15</v>
      </c>
      <c r="B16" s="15">
        <v>19.303196886299069</v>
      </c>
      <c r="C16" s="15">
        <v>17.309634699456684</v>
      </c>
      <c r="D16" s="11"/>
      <c r="E16" s="12"/>
      <c r="F16" s="12"/>
      <c r="G16" s="12"/>
    </row>
    <row r="17" ht="13.95" customHeight="1">
      <c r="A17" s="11" t="s">
        <v>16</v>
      </c>
      <c r="B17" s="15">
        <v>6.2057520857033017</v>
      </c>
      <c r="C17" s="15">
        <v>5.6069531879130921</v>
      </c>
      <c r="D17" s="11"/>
      <c r="E17" s="12"/>
      <c r="F17" s="12"/>
      <c r="G17" s="12"/>
    </row>
    <row r="18" ht="13.95" customHeight="1">
      <c r="A18" s="16" t="s">
        <v>17</v>
      </c>
      <c r="B18" s="19">
        <v>339.13545051193955</v>
      </c>
      <c r="C18" s="19">
        <v>306.8535595404486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12.120365665670464</v>
      </c>
      <c r="D19" s="17"/>
      <c r="E19" s="12"/>
      <c r="F19" s="12"/>
      <c r="G19" s="12"/>
    </row>
    <row r="20" ht="13.95" customHeight="1">
      <c r="A20" s="11" t="s">
        <v>19</v>
      </c>
      <c r="B20" s="97">
        <v>32.281890971490952</v>
      </c>
      <c r="C20" s="97">
        <v>23.893467376147111</v>
      </c>
      <c r="D20" s="11"/>
      <c r="E20" s="12"/>
      <c r="F20" s="12"/>
      <c r="G20" s="12"/>
    </row>
    <row r="21" ht="13.95" customHeight="1">
      <c r="A21" s="11" t="s">
        <v>20</v>
      </c>
      <c r="B21" s="100">
        <v>35.024644588183719</v>
      </c>
      <c r="C21" s="100">
        <v>5.154792531895442</v>
      </c>
      <c r="D21" s="11"/>
      <c r="E21" s="12"/>
      <c r="F21" s="12"/>
      <c r="G21" s="12"/>
    </row>
    <row r="22" ht="13.95" customHeight="1">
      <c r="A22" s="11" t="s">
        <v>21</v>
      </c>
      <c r="B22" s="100">
        <v>0.39436513113522237</v>
      </c>
      <c r="C22" s="100">
        <v>189.55734205174349</v>
      </c>
      <c r="D22" s="11"/>
      <c r="E22" s="12"/>
      <c r="F22" s="12"/>
      <c r="G22" s="12"/>
    </row>
    <row r="23" ht="13.95" customHeight="1">
      <c r="A23" s="11" t="s">
        <v>22</v>
      </c>
      <c r="B23" s="100">
        <v>-0.033133972051072325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-3.1039847757769068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0.021784004679648028</v>
      </c>
      <c r="D3" s="11"/>
      <c r="E3" s="12"/>
      <c r="F3" s="12"/>
      <c r="G3" s="12"/>
    </row>
    <row r="4" ht="13.95" customHeight="1">
      <c r="A4" s="11" t="s">
        <v>3</v>
      </c>
      <c r="B4" s="15">
        <v>3534.3149087263459</v>
      </c>
      <c r="C4" s="15">
        <v>3528.5201000046145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-0.16395847204853098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-0.39299314246081796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-0.56991358510917189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-0.3381599369579491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-0.020113895685169858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0.043337246498720283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5.3306465542953818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-0.14108243203105886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13.959239423363568</v>
      </c>
      <c r="C14" s="15">
        <v>13.921834363642802</v>
      </c>
      <c r="D14" s="11"/>
      <c r="E14" s="12"/>
      <c r="F14" s="12"/>
      <c r="G14" s="12"/>
    </row>
    <row r="15" ht="13.95" customHeight="1">
      <c r="A15" s="11" t="s">
        <v>14</v>
      </c>
      <c r="B15" s="15">
        <v>13.668894085638856</v>
      </c>
      <c r="C15" s="15">
        <v>13.615821645843965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0.57822047483941541</v>
      </c>
      <c r="C17" s="15">
        <v>0.57662128203848617</v>
      </c>
      <c r="D17" s="11"/>
      <c r="E17" s="12"/>
      <c r="F17" s="12"/>
      <c r="G17" s="12"/>
    </row>
    <row r="18" ht="13.95" customHeight="1">
      <c r="A18" s="16" t="s">
        <v>17</v>
      </c>
      <c r="B18" s="19">
        <v>14.537459898202984</v>
      </c>
      <c r="C18" s="19">
        <v>14.49845564568129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10.704153657667991</v>
      </c>
      <c r="D19" s="17"/>
      <c r="E19" s="12"/>
      <c r="F19" s="12"/>
      <c r="G19" s="12"/>
    </row>
    <row r="20" ht="13.95" customHeight="1">
      <c r="A20" s="11" t="s">
        <v>19</v>
      </c>
      <c r="B20" s="97">
        <v>0.039004252521694482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0.057131220487929305</v>
      </c>
      <c r="C21" s="100">
        <v>1.3835613004697187</v>
      </c>
      <c r="D21" s="11"/>
      <c r="E21" s="12"/>
      <c r="F21" s="12"/>
      <c r="G21" s="12"/>
    </row>
    <row r="22" ht="13.95" customHeight="1">
      <c r="A22" s="11" t="s">
        <v>21</v>
      </c>
      <c r="B22" s="100">
        <v>-0.016043634197762169</v>
      </c>
      <c r="C22" s="100">
        <v>29.992213195570006</v>
      </c>
      <c r="D22" s="11"/>
      <c r="E22" s="12"/>
      <c r="F22" s="12"/>
      <c r="G22" s="12"/>
    </row>
    <row r="23" ht="13.95" customHeight="1">
      <c r="A23" s="11" t="s">
        <v>22</v>
      </c>
      <c r="B23" s="100">
        <v>0.0068497161720444235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-0.0089330499405160177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-0.38291248863469018</v>
      </c>
      <c r="D3" s="11"/>
      <c r="E3" s="12"/>
      <c r="F3" s="12"/>
      <c r="G3" s="12"/>
    </row>
    <row r="4" ht="13.95" customHeight="1">
      <c r="A4" s="11" t="s">
        <v>3</v>
      </c>
      <c r="B4" s="15">
        <v>68227.412646499026</v>
      </c>
      <c r="C4" s="15">
        <v>68832.702937726659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0.88716582931815946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0.7561347035423438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0.65764874008602536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0.64970777669879354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0.90367673967521878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0.97735707980435294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1.7925448453346204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0.67439345730819777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129.77885579964433</v>
      </c>
      <c r="C14" s="15">
        <v>131.17211956152119</v>
      </c>
      <c r="D14" s="11"/>
      <c r="E14" s="12"/>
      <c r="F14" s="12"/>
      <c r="G14" s="12"/>
    </row>
    <row r="15" ht="13.95" customHeight="1">
      <c r="A15" s="11" t="s">
        <v>14</v>
      </c>
      <c r="B15" s="15">
        <v>85.438168274500086</v>
      </c>
      <c r="C15" s="15">
        <v>86.0181516106204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0.54871262547040045</v>
      </c>
      <c r="C17" s="15">
        <v>0.55240231442473886</v>
      </c>
      <c r="D17" s="11"/>
      <c r="E17" s="12"/>
      <c r="F17" s="12"/>
      <c r="G17" s="12"/>
    </row>
    <row r="18" ht="13.95" customHeight="1">
      <c r="A18" s="16" t="s">
        <v>17</v>
      </c>
      <c r="B18" s="19">
        <v>130.32756842511472</v>
      </c>
      <c r="C18" s="19">
        <v>131.72452187594593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74.020251647544839</v>
      </c>
      <c r="D19" s="17"/>
      <c r="E19" s="12"/>
      <c r="F19" s="12"/>
      <c r="G19" s="12"/>
    </row>
    <row r="20" ht="13.95" customHeight="1">
      <c r="A20" s="11" t="s">
        <v>19</v>
      </c>
      <c r="B20" s="97">
        <v>-1.3969534508312052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-0.98545197314519306</v>
      </c>
      <c r="C21" s="100">
        <v>6.190167041287765</v>
      </c>
      <c r="D21" s="11"/>
      <c r="E21" s="12"/>
      <c r="F21" s="12"/>
      <c r="G21" s="12"/>
    </row>
    <row r="22" ht="13.95" customHeight="1">
      <c r="A22" s="11" t="s">
        <v>21</v>
      </c>
      <c r="B22" s="100">
        <v>-0.46118826791272671</v>
      </c>
      <c r="C22" s="100">
        <v>148.95716694814257</v>
      </c>
      <c r="D22" s="11"/>
      <c r="E22" s="12"/>
      <c r="F22" s="12"/>
      <c r="G22" s="12"/>
    </row>
    <row r="23" ht="13.95" customHeight="1">
      <c r="A23" s="11" t="s">
        <v>22</v>
      </c>
      <c r="B23" s="100">
        <v>-0.024884912571888126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0.074571702798594208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-0.45152629490214924</v>
      </c>
      <c r="D3" s="11"/>
      <c r="E3" s="12"/>
      <c r="F3" s="12"/>
      <c r="G3" s="12"/>
    </row>
    <row r="4" ht="13.95" customHeight="1">
      <c r="A4" s="11" t="s">
        <v>3</v>
      </c>
      <c r="B4" s="15">
        <v>4333.7057073024107</v>
      </c>
      <c r="C4" s="15">
        <v>4355.5961724389936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0.50512117377277121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0.34092490077648474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0.23488820280923584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0.17787909468569563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0.49117664011018025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0.5416530634897887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0.22434119696403965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0.42322565462347139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18.558871808246373</v>
      </c>
      <c r="C14" s="15">
        <v>18.589586569951067</v>
      </c>
      <c r="D14" s="11"/>
      <c r="E14" s="12"/>
      <c r="F14" s="12"/>
      <c r="G14" s="12"/>
    </row>
    <row r="15" ht="13.95" customHeight="1">
      <c r="A15" s="11" t="s">
        <v>14</v>
      </c>
      <c r="B15" s="15">
        <v>10.634321428412905</v>
      </c>
      <c r="C15" s="15">
        <v>10.650545701829794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3.5038184371978174</v>
      </c>
      <c r="C17" s="15">
        <v>3.5091542040928227</v>
      </c>
      <c r="D17" s="11"/>
      <c r="E17" s="12"/>
      <c r="F17" s="12"/>
      <c r="G17" s="12"/>
    </row>
    <row r="18" ht="13.95" customHeight="1">
      <c r="A18" s="16" t="s">
        <v>17</v>
      </c>
      <c r="B18" s="19">
        <v>22.062690245444188</v>
      </c>
      <c r="C18" s="19">
        <v>22.09874077404389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8.5189696290036458</v>
      </c>
      <c r="D19" s="17"/>
      <c r="E19" s="12"/>
      <c r="F19" s="12"/>
      <c r="G19" s="12"/>
    </row>
    <row r="20" ht="13.95" customHeight="1">
      <c r="A20" s="11" t="s">
        <v>19</v>
      </c>
      <c r="B20" s="97">
        <v>-0.036050528599702147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-0.075217204827901923</v>
      </c>
      <c r="C21" s="100">
        <v>2.3475934399604022</v>
      </c>
      <c r="D21" s="11"/>
      <c r="E21" s="12"/>
      <c r="F21" s="12"/>
      <c r="G21" s="12"/>
    </row>
    <row r="22" ht="13.95" customHeight="1">
      <c r="A22" s="11" t="s">
        <v>21</v>
      </c>
      <c r="B22" s="100">
        <v>0.015971527775766377</v>
      </c>
      <c r="C22" s="100">
        <v>17.211247809908233</v>
      </c>
      <c r="D22" s="11"/>
      <c r="E22" s="12"/>
      <c r="F22" s="12"/>
      <c r="G22" s="12"/>
    </row>
    <row r="23" ht="13.95" customHeight="1">
      <c r="A23" s="11" t="s">
        <v>22</v>
      </c>
      <c r="B23" s="100">
        <v>0.002691961265938935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0.020503187186493362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-0.3826288994209337</v>
      </c>
      <c r="D3" s="11"/>
      <c r="E3" s="12"/>
      <c r="F3" s="12"/>
      <c r="G3" s="12"/>
    </row>
    <row r="4" ht="13.95" customHeight="1">
      <c r="A4" s="11" t="s">
        <v>3</v>
      </c>
      <c r="B4" s="15">
        <v>11307.630016942256</v>
      </c>
      <c r="C4" s="15">
        <v>11404.647667081186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0.8579839452968363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0.78346403354974115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0.68892023715370065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0.68585307969648568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0.8890577835013902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0.98389902299438337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2.7303584918722423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0.72105872704884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13.607931843516125</v>
      </c>
      <c r="C14" s="15">
        <v>13.881621107820056</v>
      </c>
      <c r="D14" s="11"/>
      <c r="E14" s="12"/>
      <c r="F14" s="12"/>
      <c r="G14" s="12"/>
    </row>
    <row r="15" ht="13.95" customHeight="1">
      <c r="A15" s="11" t="s">
        <v>14</v>
      </c>
      <c r="B15" s="15">
        <v>3.2626098038476439</v>
      </c>
      <c r="C15" s="15">
        <v>3.2929831700950856</v>
      </c>
      <c r="D15" s="11"/>
      <c r="E15" s="12"/>
      <c r="F15" s="12"/>
      <c r="G15" s="12"/>
    </row>
    <row r="16" ht="13.95" customHeight="1">
      <c r="A16" s="11" t="s">
        <v>15</v>
      </c>
      <c r="B16" s="15">
        <v>26.686969807324473</v>
      </c>
      <c r="C16" s="15">
        <v>26.89605261740914</v>
      </c>
      <c r="D16" s="11"/>
      <c r="E16" s="12"/>
      <c r="F16" s="12"/>
      <c r="G16" s="12"/>
    </row>
    <row r="17" ht="13.95" customHeight="1">
      <c r="A17" s="11" t="s">
        <v>16</v>
      </c>
      <c r="B17" s="15">
        <v>0.25719152980647586</v>
      </c>
      <c r="C17" s="15">
        <v>0.26048539977056695</v>
      </c>
      <c r="D17" s="11"/>
      <c r="E17" s="12"/>
      <c r="F17" s="12"/>
      <c r="G17" s="12"/>
    </row>
    <row r="18" ht="13.95" customHeight="1">
      <c r="A18" s="16" t="s">
        <v>17</v>
      </c>
      <c r="B18" s="19">
        <v>40.552093180647077</v>
      </c>
      <c r="C18" s="19">
        <v>41.038159124999765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2.5250737904951297</v>
      </c>
      <c r="D19" s="17"/>
      <c r="E19" s="12"/>
      <c r="F19" s="12"/>
      <c r="G19" s="12"/>
    </row>
    <row r="20" ht="13.95" customHeight="1">
      <c r="A20" s="11" t="s">
        <v>19</v>
      </c>
      <c r="B20" s="97">
        <v>-0.48606594435268846</v>
      </c>
      <c r="C20" s="97">
        <v>27.103874429119916</v>
      </c>
      <c r="D20" s="11"/>
      <c r="E20" s="12"/>
      <c r="F20" s="12"/>
      <c r="G20" s="12"/>
    </row>
    <row r="21" ht="13.95" customHeight="1">
      <c r="A21" s="11" t="s">
        <v>20</v>
      </c>
      <c r="B21" s="100">
        <v>-0.31771106492195061</v>
      </c>
      <c r="C21" s="100">
        <v>0.35117332580089666</v>
      </c>
      <c r="D21" s="11"/>
      <c r="E21" s="12"/>
      <c r="F21" s="12"/>
      <c r="G21" s="12"/>
    </row>
    <row r="22" ht="13.95" customHeight="1">
      <c r="A22" s="11" t="s">
        <v>21</v>
      </c>
      <c r="B22" s="100">
        <v>-0.16080692740997438</v>
      </c>
      <c r="C22" s="100">
        <v>49.419644741742225</v>
      </c>
      <c r="D22" s="11"/>
      <c r="E22" s="12"/>
      <c r="F22" s="12"/>
      <c r="G22" s="12"/>
    </row>
    <row r="23" ht="13.95" customHeight="1">
      <c r="A23" s="11" t="s">
        <v>22</v>
      </c>
      <c r="B23" s="100">
        <v>-0.0079966564292732779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0.00044870440851202745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-0.16499802739174951</v>
      </c>
      <c r="D3" s="11"/>
      <c r="E3" s="12"/>
      <c r="F3" s="12"/>
      <c r="G3" s="12"/>
    </row>
    <row r="4" ht="13.95" customHeight="1">
      <c r="A4" s="11" t="s">
        <v>3</v>
      </c>
      <c r="B4" s="15">
        <v>10918.442007732021</v>
      </c>
      <c r="C4" s="15">
        <v>10953.586802062177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0.32188470026461857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0.14568477055880713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0.016748530771892867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0.17787981822028343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0.36533705757932911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0.46019440757791852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1.4995324583795711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-0.23930622152738001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72.614171506936529</v>
      </c>
      <c r="C14" s="15">
        <v>73.73491701793273</v>
      </c>
      <c r="D14" s="11"/>
      <c r="E14" s="12"/>
      <c r="F14" s="12"/>
      <c r="G14" s="12"/>
    </row>
    <row r="15" ht="13.95" customHeight="1">
      <c r="A15" s="11" t="s">
        <v>14</v>
      </c>
      <c r="B15" s="15">
        <v>2.2095631205000159</v>
      </c>
      <c r="C15" s="15">
        <v>2.2151335287286913</v>
      </c>
      <c r="D15" s="11"/>
      <c r="E15" s="12"/>
      <c r="F15" s="12"/>
      <c r="G15" s="12"/>
    </row>
    <row r="16" ht="13.95" customHeight="1">
      <c r="A16" s="11" t="s">
        <v>15</v>
      </c>
      <c r="B16" s="15">
        <v>44.65748458026205</v>
      </c>
      <c r="C16" s="15">
        <v>44.722543734210142</v>
      </c>
      <c r="D16" s="11"/>
      <c r="E16" s="12"/>
      <c r="F16" s="12"/>
      <c r="G16" s="12"/>
    </row>
    <row r="17" ht="13.95" customHeight="1">
      <c r="A17" s="11" t="s">
        <v>16</v>
      </c>
      <c r="B17" s="15">
        <v>1.5782060413938412</v>
      </c>
      <c r="C17" s="15">
        <v>1.5895545156281186</v>
      </c>
      <c r="D17" s="11"/>
      <c r="E17" s="12"/>
      <c r="F17" s="12"/>
      <c r="G17" s="12"/>
    </row>
    <row r="18" ht="13.95" customHeight="1">
      <c r="A18" s="16" t="s">
        <v>17</v>
      </c>
      <c r="B18" s="19">
        <v>118.84986212859242</v>
      </c>
      <c r="C18" s="19">
        <v>120.047015267771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2.0461191548880411</v>
      </c>
      <c r="D19" s="17"/>
      <c r="E19" s="12"/>
      <c r="F19" s="12"/>
      <c r="G19" s="12"/>
    </row>
    <row r="20" ht="13.95" customHeight="1">
      <c r="A20" s="11" t="s">
        <v>19</v>
      </c>
      <c r="B20" s="97">
        <v>-1.1971531391785817</v>
      </c>
      <c r="C20" s="97">
        <v>49.247764633246618</v>
      </c>
      <c r="D20" s="11"/>
      <c r="E20" s="12"/>
      <c r="F20" s="12"/>
      <c r="G20" s="12"/>
    </row>
    <row r="21" ht="13.95" customHeight="1">
      <c r="A21" s="11" t="s">
        <v>20</v>
      </c>
      <c r="B21" s="100">
        <v>-0.17314614895150196</v>
      </c>
      <c r="C21" s="100">
        <v>2.194755009378099</v>
      </c>
      <c r="D21" s="11"/>
      <c r="E21" s="12"/>
      <c r="F21" s="12"/>
      <c r="G21" s="12"/>
    </row>
    <row r="22" ht="13.95" customHeight="1">
      <c r="A22" s="11" t="s">
        <v>21</v>
      </c>
      <c r="B22" s="100">
        <v>-0.90921934946130423</v>
      </c>
      <c r="C22" s="100">
        <v>127.05051516964389</v>
      </c>
      <c r="D22" s="11"/>
      <c r="E22" s="12"/>
      <c r="F22" s="12"/>
      <c r="G22" s="12"/>
    </row>
    <row r="23" ht="13.95" customHeight="1">
      <c r="A23" s="11" t="s">
        <v>22</v>
      </c>
      <c r="B23" s="100">
        <v>-0.0016400413664670668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-0.11314759939929636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-0.36499673282276435</v>
      </c>
      <c r="D3" s="11"/>
      <c r="E3" s="12"/>
      <c r="F3" s="12"/>
      <c r="G3" s="12"/>
    </row>
    <row r="4" ht="13.95" customHeight="1">
      <c r="A4" s="11" t="s">
        <v>3</v>
      </c>
      <c r="B4" s="15">
        <v>92858.785142112611</v>
      </c>
      <c r="C4" s="15">
        <v>94426.022353716064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1.6877640701468577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1.6501058734389229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1.5657179200180504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1.5599457833274766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1.7060927671131987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1.8387390721224417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1.8630552309308879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1.5042582069318966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69.121638113508212</v>
      </c>
      <c r="C14" s="15">
        <v>70.361046735400848</v>
      </c>
      <c r="D14" s="11"/>
      <c r="E14" s="12"/>
      <c r="F14" s="12"/>
      <c r="G14" s="12"/>
    </row>
    <row r="15" ht="13.95" customHeight="1">
      <c r="A15" s="11" t="s">
        <v>14</v>
      </c>
      <c r="B15" s="15">
        <v>3.0424714590010211</v>
      </c>
      <c r="C15" s="15">
        <v>3.0915737216691506</v>
      </c>
      <c r="D15" s="11"/>
      <c r="E15" s="12"/>
      <c r="F15" s="12"/>
      <c r="G15" s="12"/>
    </row>
    <row r="16" ht="13.95" customHeight="1">
      <c r="A16" s="11" t="s">
        <v>15</v>
      </c>
      <c r="B16" s="15">
        <v>27.827033046104514</v>
      </c>
      <c r="C16" s="15">
        <v>28.286208552802073</v>
      </c>
      <c r="D16" s="11"/>
      <c r="E16" s="12"/>
      <c r="F16" s="12"/>
      <c r="G16" s="12"/>
    </row>
    <row r="17" ht="13.95" customHeight="1">
      <c r="A17" s="11" t="s">
        <v>16</v>
      </c>
      <c r="B17" s="15">
        <v>1.1941193017650349</v>
      </c>
      <c r="C17" s="15">
        <v>1.2093452786115275</v>
      </c>
      <c r="D17" s="11"/>
      <c r="E17" s="12"/>
      <c r="F17" s="12"/>
      <c r="G17" s="12"/>
    </row>
    <row r="18" ht="13.95" customHeight="1">
      <c r="A18" s="16" t="s">
        <v>17</v>
      </c>
      <c r="B18" s="19">
        <v>98.142790461377771</v>
      </c>
      <c r="C18" s="19">
        <v>99.856600566814436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2.3384069611874625</v>
      </c>
      <c r="D19" s="17"/>
      <c r="E19" s="12"/>
      <c r="F19" s="12"/>
      <c r="G19" s="12"/>
    </row>
    <row r="20" ht="13.95" customHeight="1">
      <c r="A20" s="11" t="s">
        <v>19</v>
      </c>
      <c r="B20" s="97">
        <v>-1.7138101054366643</v>
      </c>
      <c r="C20" s="97">
        <v>25.830980224617996</v>
      </c>
      <c r="D20" s="11"/>
      <c r="E20" s="12"/>
      <c r="F20" s="12"/>
      <c r="G20" s="12"/>
    </row>
    <row r="21" ht="13.95" customHeight="1">
      <c r="A21" s="11" t="s">
        <v>20</v>
      </c>
      <c r="B21" s="100">
        <v>-1.6194599497600484</v>
      </c>
      <c r="C21" s="100">
        <v>0.90921318578580212</v>
      </c>
      <c r="D21" s="11"/>
      <c r="E21" s="12"/>
      <c r="F21" s="12"/>
      <c r="G21" s="12"/>
    </row>
    <row r="22" ht="13.95" customHeight="1">
      <c r="A22" s="11" t="s">
        <v>21</v>
      </c>
      <c r="B22" s="100">
        <v>-0.11747108610974444</v>
      </c>
      <c r="C22" s="100">
        <v>72.8802510212689</v>
      </c>
      <c r="D22" s="11"/>
      <c r="E22" s="12"/>
      <c r="F22" s="12"/>
      <c r="G22" s="12"/>
    </row>
    <row r="23" ht="13.95" customHeight="1">
      <c r="A23" s="11" t="s">
        <v>22</v>
      </c>
      <c r="B23" s="100">
        <v>-0.0016413574345010902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0.024762287867621018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-0.3894266088859677</v>
      </c>
      <c r="D3" s="11"/>
      <c r="E3" s="12"/>
      <c r="F3" s="12"/>
      <c r="G3" s="12"/>
    </row>
    <row r="4" ht="13.95" customHeight="1">
      <c r="A4" s="11" t="s">
        <v>3</v>
      </c>
      <c r="B4" s="15">
        <v>9036.2287438340045</v>
      </c>
      <c r="C4" s="15">
        <v>9054.8661736856575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0.2062523025921692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0.054546364682361848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-0.070447164264098028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-0.060689790191204018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0.20257705840192042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0.27298122265091429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1.6393235566392495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0.0997174669596923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8.36989181544574</v>
      </c>
      <c r="C14" s="15">
        <v>8.3948513479774256</v>
      </c>
      <c r="D14" s="11"/>
      <c r="E14" s="12"/>
      <c r="F14" s="12"/>
      <c r="G14" s="12"/>
    </row>
    <row r="15" ht="13.95" customHeight="1">
      <c r="A15" s="11" t="s">
        <v>14</v>
      </c>
      <c r="B15" s="15">
        <v>6.5986475937645279</v>
      </c>
      <c r="C15" s="15">
        <v>6.59300101282364</v>
      </c>
      <c r="D15" s="11"/>
      <c r="E15" s="12"/>
      <c r="F15" s="12"/>
      <c r="G15" s="12"/>
    </row>
    <row r="16" ht="13.95" customHeight="1">
      <c r="A16" s="11" t="s">
        <v>15</v>
      </c>
      <c r="B16" s="15">
        <v>10.421210265225833</v>
      </c>
      <c r="C16" s="15">
        <v>10.426894656581419</v>
      </c>
      <c r="D16" s="11"/>
      <c r="E16" s="12"/>
      <c r="F16" s="12"/>
      <c r="G16" s="12"/>
    </row>
    <row r="17" ht="13.95" customHeight="1">
      <c r="A17" s="11" t="s">
        <v>16</v>
      </c>
      <c r="B17" s="15">
        <v>0.11478694055342646</v>
      </c>
      <c r="C17" s="15">
        <v>0.11479026400390298</v>
      </c>
      <c r="D17" s="11"/>
      <c r="E17" s="12"/>
      <c r="F17" s="12"/>
      <c r="G17" s="12"/>
    </row>
    <row r="18" ht="13.95" customHeight="1">
      <c r="A18" s="16" t="s">
        <v>17</v>
      </c>
      <c r="B18" s="19">
        <v>18.905889021225</v>
      </c>
      <c r="C18" s="19">
        <v>18.936536268562747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5.952521070062188</v>
      </c>
      <c r="D19" s="17"/>
      <c r="E19" s="12"/>
      <c r="F19" s="12"/>
      <c r="G19" s="12"/>
    </row>
    <row r="20" ht="13.95" customHeight="1">
      <c r="A20" s="11" t="s">
        <v>19</v>
      </c>
      <c r="B20" s="97">
        <v>-0.030647247337746819</v>
      </c>
      <c r="C20" s="97">
        <v>12.466632157010409</v>
      </c>
      <c r="D20" s="11"/>
      <c r="E20" s="12"/>
      <c r="F20" s="12"/>
      <c r="G20" s="12"/>
    </row>
    <row r="21" ht="13.95" customHeight="1">
      <c r="A21" s="11" t="s">
        <v>20</v>
      </c>
      <c r="B21" s="100">
        <v>-0.010312475171961504</v>
      </c>
      <c r="C21" s="100">
        <v>0.27830244189301645</v>
      </c>
      <c r="D21" s="11"/>
      <c r="E21" s="12"/>
      <c r="F21" s="12"/>
      <c r="G21" s="12"/>
    </row>
    <row r="22" ht="13.95" customHeight="1">
      <c r="A22" s="11" t="s">
        <v>21</v>
      </c>
      <c r="B22" s="100">
        <v>-0.028637657924744597</v>
      </c>
      <c r="C22" s="100">
        <v>28.337680959960558</v>
      </c>
      <c r="D22" s="11"/>
      <c r="E22" s="12"/>
      <c r="F22" s="12"/>
      <c r="G22" s="12"/>
    </row>
    <row r="23" ht="13.95" customHeight="1">
      <c r="A23" s="11" t="s">
        <v>22</v>
      </c>
      <c r="B23" s="100">
        <v>0.00164187556077527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0.0066610101981820083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-0.51882397354892085</v>
      </c>
      <c r="D3" s="11"/>
      <c r="E3" s="12"/>
      <c r="F3" s="12"/>
      <c r="G3" s="12"/>
    </row>
    <row r="4" ht="13.95" customHeight="1">
      <c r="A4" s="11" t="s">
        <v>3</v>
      </c>
      <c r="B4" s="15">
        <v>930.4156347486246</v>
      </c>
      <c r="C4" s="15">
        <v>938.75212004445393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0.89599583073232125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0.72593205997979471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0.62616462599882627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0.52079530332158619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0.806755787460034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0.87769984271017787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3.1272275869699939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0.54707404445586416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11.358021777759955</v>
      </c>
      <c r="C14" s="15">
        <v>11.663198155988823</v>
      </c>
      <c r="D14" s="11"/>
      <c r="E14" s="12"/>
      <c r="F14" s="12"/>
      <c r="G14" s="12"/>
    </row>
    <row r="15" ht="13.95" customHeight="1">
      <c r="A15" s="11" t="s">
        <v>14</v>
      </c>
      <c r="B15" s="15">
        <v>2.0476906465096651</v>
      </c>
      <c r="C15" s="15">
        <v>2.057762038795163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0.060074246039585812</v>
      </c>
      <c r="C17" s="15">
        <v>0.061272405982323169</v>
      </c>
      <c r="D17" s="11"/>
      <c r="E17" s="12"/>
      <c r="F17" s="12"/>
      <c r="G17" s="12"/>
    </row>
    <row r="18" ht="13.95" customHeight="1">
      <c r="A18" s="16" t="s">
        <v>17</v>
      </c>
      <c r="B18" s="19">
        <v>11.418096023799542</v>
      </c>
      <c r="C18" s="19">
        <v>11.724470561971147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1.4692296118187493</v>
      </c>
      <c r="D19" s="17"/>
      <c r="E19" s="12"/>
      <c r="F19" s="12"/>
      <c r="G19" s="12"/>
    </row>
    <row r="20" ht="13.95" customHeight="1">
      <c r="A20" s="11" t="s">
        <v>19</v>
      </c>
      <c r="B20" s="97">
        <v>-0.306374538171605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-0.082887619676038068</v>
      </c>
      <c r="C21" s="100">
        <v>0.34749522296036872</v>
      </c>
      <c r="D21" s="11"/>
      <c r="E21" s="12"/>
      <c r="F21" s="12"/>
      <c r="G21" s="12"/>
    </row>
    <row r="22" ht="13.95" customHeight="1">
      <c r="A22" s="11" t="s">
        <v>21</v>
      </c>
      <c r="B22" s="100">
        <v>-0.2270597080551186</v>
      </c>
      <c r="C22" s="100">
        <v>37.888044455199669</v>
      </c>
      <c r="D22" s="11"/>
      <c r="E22" s="12"/>
      <c r="F22" s="12"/>
      <c r="G22" s="12"/>
    </row>
    <row r="23" ht="13.95" customHeight="1">
      <c r="A23" s="11" t="s">
        <v>22</v>
      </c>
      <c r="B23" s="100">
        <v>0.00059288442807960107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0.0029799051314712143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71"/>
  <sheetViews>
    <sheetView zoomScaleNormal="100" workbookViewId="0">
      <selection activeCell="A28" sqref="A28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-0.46860337140264274</v>
      </c>
      <c r="D3" s="11"/>
      <c r="E3" s="12"/>
      <c r="F3" s="12"/>
      <c r="G3" s="12"/>
    </row>
    <row r="4" ht="13.95" customHeight="1">
      <c r="A4" s="11" t="s">
        <v>3</v>
      </c>
      <c r="B4" s="15">
        <v>9186.8694108043819</v>
      </c>
      <c r="C4" s="15">
        <v>9231.52269388589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0.4860554894684066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0.36666108878156134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0.28408259611323317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0.17887382016390507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0.42672624397246395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0.52952839734181634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0.405823711350517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0.33147009834866292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1400.2145881732097</v>
      </c>
      <c r="C14" s="15">
        <v>1399.3553055976909</v>
      </c>
      <c r="D14" s="11"/>
      <c r="E14" s="12"/>
      <c r="F14" s="12"/>
      <c r="G14" s="12"/>
    </row>
    <row r="15" ht="13.95" customHeight="1">
      <c r="A15" s="11" t="s">
        <v>14</v>
      </c>
      <c r="B15" s="15">
        <v>63.1502706915106</v>
      </c>
      <c r="C15" s="15">
        <v>63.218240932442022</v>
      </c>
      <c r="D15" s="11"/>
      <c r="E15" s="12"/>
      <c r="F15" s="12"/>
      <c r="G15" s="12"/>
    </row>
    <row r="16" ht="13.95" customHeight="1">
      <c r="A16" s="11" t="s">
        <v>15</v>
      </c>
      <c r="B16" s="15">
        <v>1368.2998059598972</v>
      </c>
      <c r="C16" s="15">
        <v>1374.138700328147</v>
      </c>
      <c r="D16" s="11"/>
      <c r="E16" s="12"/>
      <c r="F16" s="12"/>
      <c r="G16" s="12"/>
    </row>
    <row r="17" ht="13.95" customHeight="1">
      <c r="A17" s="11" t="s">
        <v>16</v>
      </c>
      <c r="B17" s="15">
        <v>13.768162350875521</v>
      </c>
      <c r="C17" s="15">
        <v>13.770500268828215</v>
      </c>
      <c r="D17" s="11"/>
      <c r="E17" s="12"/>
      <c r="F17" s="12"/>
      <c r="G17" s="12"/>
    </row>
    <row r="18" ht="13.95" customHeight="1">
      <c r="A18" s="16" t="s">
        <v>17</v>
      </c>
      <c r="B18" s="19">
        <v>2782.2825564839827</v>
      </c>
      <c r="C18" s="19">
        <v>2787.2645061946664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45.758290037415215</v>
      </c>
      <c r="D19" s="17"/>
      <c r="E19" s="12"/>
      <c r="F19" s="12"/>
      <c r="G19" s="12"/>
    </row>
    <row r="20" ht="13.95" customHeight="1">
      <c r="A20" s="11" t="s">
        <v>19</v>
      </c>
      <c r="B20" s="97">
        <v>-4.9819497106836934</v>
      </c>
      <c r="C20" s="97">
        <v>1137.8321410923375</v>
      </c>
      <c r="D20" s="11"/>
      <c r="E20" s="12"/>
      <c r="F20" s="12"/>
      <c r="G20" s="12"/>
    </row>
    <row r="21" ht="13.95" customHeight="1">
      <c r="A21" s="11" t="s">
        <v>20</v>
      </c>
      <c r="B21" s="100">
        <v>-10.201547514583703</v>
      </c>
      <c r="C21" s="100">
        <v>8.1905739365116119</v>
      </c>
      <c r="D21" s="11"/>
      <c r="E21" s="12"/>
      <c r="F21" s="12"/>
      <c r="G21" s="12"/>
    </row>
    <row r="22" ht="13.95" customHeight="1">
      <c r="A22" s="11" t="s">
        <v>21</v>
      </c>
      <c r="B22" s="100">
        <v>5.9931836193488213</v>
      </c>
      <c r="C22" s="100">
        <v>1559.4330823796724</v>
      </c>
      <c r="D22" s="11"/>
      <c r="E22" s="12"/>
      <c r="F22" s="12"/>
      <c r="G22" s="12"/>
    </row>
    <row r="23" ht="13.95" customHeight="1">
      <c r="A23" s="11" t="s">
        <v>22</v>
      </c>
      <c r="B23" s="100">
        <v>0.04498906069833717</v>
      </c>
      <c r="C23" s="100"/>
      <c r="D23" s="11"/>
      <c r="E23" s="12"/>
      <c r="F23" s="12"/>
      <c r="G23" s="12"/>
    </row>
    <row r="24" ht="13.95" customHeight="1">
      <c r="A24" s="11" t="s">
        <v>23</v>
      </c>
      <c r="B24" s="100">
        <v>0.056414444115099271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-0.87498932026240328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 t="s">
        <v>440</v>
      </c>
      <c r="B27" s="12"/>
      <c r="C27" s="87">
        <v>0.02506816293410017</v>
      </c>
      <c r="D27" s="12"/>
      <c r="E27" s="12"/>
      <c r="F27" s="12"/>
      <c r="G27" s="12"/>
    </row>
    <row r="28">
      <c r="A28" s="12" t="s">
        <v>441</v>
      </c>
      <c r="B28" s="12"/>
      <c r="C28" s="12">
        <v>0</v>
      </c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-0.35952151545689537</v>
      </c>
      <c r="D3" s="11"/>
      <c r="E3" s="12"/>
      <c r="F3" s="12"/>
      <c r="G3" s="12"/>
    </row>
    <row r="4" ht="13.95" customHeight="1">
      <c r="A4" s="11" t="s">
        <v>3</v>
      </c>
      <c r="B4" s="15">
        <v>3943.9773826923847</v>
      </c>
      <c r="C4" s="15">
        <v>4002.2550485075622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1.477636917263303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1.2625456386294198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1.1567943695858451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1.1285399282737085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1.440213977049476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1.5033073125334751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1.9857480259791949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1.2234236898813977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70.804037121463082</v>
      </c>
      <c r="C14" s="15">
        <v>72.2176459415545</v>
      </c>
      <c r="D14" s="11"/>
      <c r="E14" s="12"/>
      <c r="F14" s="12"/>
      <c r="G14" s="12"/>
    </row>
    <row r="15" ht="13.95" customHeight="1">
      <c r="A15" s="11" t="s">
        <v>14</v>
      </c>
      <c r="B15" s="15">
        <v>3.9270172386013669</v>
      </c>
      <c r="C15" s="15">
        <v>3.9692577449215212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0.53114239011974129</v>
      </c>
      <c r="C17" s="15">
        <v>0.53942719380940229</v>
      </c>
      <c r="D17" s="11"/>
      <c r="E17" s="12"/>
      <c r="F17" s="12"/>
      <c r="G17" s="12"/>
    </row>
    <row r="18" ht="13.95" customHeight="1">
      <c r="A18" s="16" t="s">
        <v>17</v>
      </c>
      <c r="B18" s="19">
        <v>71.335179511582822</v>
      </c>
      <c r="C18" s="19">
        <v>72.7570731353639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2.2627320989215103</v>
      </c>
      <c r="D19" s="17"/>
      <c r="E19" s="12"/>
      <c r="F19" s="12"/>
      <c r="G19" s="12"/>
    </row>
    <row r="20" ht="13.95" customHeight="1">
      <c r="A20" s="11" t="s">
        <v>19</v>
      </c>
      <c r="B20" s="97">
        <v>-1.4218936237810738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-0.90063919773196344</v>
      </c>
      <c r="C21" s="100">
        <v>0.55720780995603292</v>
      </c>
      <c r="D21" s="11"/>
      <c r="E21" s="12"/>
      <c r="F21" s="12"/>
      <c r="G21" s="12"/>
    </row>
    <row r="22" ht="13.95" customHeight="1">
      <c r="A22" s="11" t="s">
        <v>21</v>
      </c>
      <c r="B22" s="100">
        <v>-0.451608800128901</v>
      </c>
      <c r="C22" s="100">
        <v>60.8937893196818</v>
      </c>
      <c r="D22" s="11"/>
      <c r="E22" s="12"/>
      <c r="F22" s="12"/>
      <c r="G22" s="12"/>
    </row>
    <row r="23" ht="13.95" customHeight="1">
      <c r="A23" s="11" t="s">
        <v>22</v>
      </c>
      <c r="B23" s="100">
        <v>0.0020774512076539484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-0.071723077127861731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-0.47120081742326736</v>
      </c>
      <c r="D3" s="11"/>
      <c r="E3" s="12"/>
      <c r="F3" s="12"/>
      <c r="G3" s="12"/>
    </row>
    <row r="4" ht="13.95" customHeight="1">
      <c r="A4" s="11" t="s">
        <v>3</v>
      </c>
      <c r="B4" s="15">
        <v>19918.750236741595</v>
      </c>
      <c r="C4" s="15">
        <v>19983.885455674452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0.3270045467647309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0.17009366474280974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0.058960760556292513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-0.015814048271012293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0.29229446753984423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0.35411341830824394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0.54389549077227262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0.16710807530995187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91.473835539205723</v>
      </c>
      <c r="C14" s="15">
        <v>91.656508338610053</v>
      </c>
      <c r="D14" s="11"/>
      <c r="E14" s="12"/>
      <c r="F14" s="12"/>
      <c r="G14" s="12"/>
    </row>
    <row r="15" ht="13.95" customHeight="1">
      <c r="A15" s="11" t="s">
        <v>14</v>
      </c>
      <c r="B15" s="15">
        <v>59.311420038482368</v>
      </c>
      <c r="C15" s="15">
        <v>59.300424511024936</v>
      </c>
      <c r="D15" s="11"/>
      <c r="E15" s="12"/>
      <c r="F15" s="12"/>
      <c r="G15" s="12"/>
    </row>
    <row r="16" ht="13.95" customHeight="1">
      <c r="A16" s="11" t="s">
        <v>15</v>
      </c>
      <c r="B16" s="15">
        <v>0.19149782767923171</v>
      </c>
      <c r="C16" s="15">
        <v>0.19182355335223417</v>
      </c>
      <c r="D16" s="11"/>
      <c r="E16" s="12"/>
      <c r="F16" s="12"/>
      <c r="G16" s="12"/>
    </row>
    <row r="17" ht="13.95" customHeight="1">
      <c r="A17" s="11" t="s">
        <v>16</v>
      </c>
      <c r="B17" s="15">
        <v>1.4569525739064944</v>
      </c>
      <c r="C17" s="15">
        <v>1.4515767997491333</v>
      </c>
      <c r="D17" s="11"/>
      <c r="E17" s="12"/>
      <c r="F17" s="12"/>
      <c r="G17" s="12"/>
    </row>
    <row r="18" ht="13.95" customHeight="1">
      <c r="A18" s="16" t="s">
        <v>17</v>
      </c>
      <c r="B18" s="19">
        <v>93.122285940791443</v>
      </c>
      <c r="C18" s="19">
        <v>93.299908691711437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45.502388748562005</v>
      </c>
      <c r="D19" s="17"/>
      <c r="E19" s="12"/>
      <c r="F19" s="12"/>
      <c r="G19" s="12"/>
    </row>
    <row r="20" ht="13.95" customHeight="1">
      <c r="A20" s="11" t="s">
        <v>19</v>
      </c>
      <c r="B20" s="97">
        <v>-0.17762275091999413</v>
      </c>
      <c r="C20" s="97">
        <v>0.22040227320161815</v>
      </c>
      <c r="D20" s="11"/>
      <c r="E20" s="12"/>
      <c r="F20" s="12"/>
      <c r="G20" s="12"/>
    </row>
    <row r="21" ht="13.95" customHeight="1">
      <c r="A21" s="11" t="s">
        <v>20</v>
      </c>
      <c r="B21" s="100">
        <v>-0.15839510884897123</v>
      </c>
      <c r="C21" s="100">
        <v>1.6570268325394397</v>
      </c>
      <c r="D21" s="11"/>
      <c r="E21" s="12"/>
      <c r="F21" s="12"/>
      <c r="G21" s="12"/>
    </row>
    <row r="22" ht="13.95" customHeight="1">
      <c r="A22" s="11" t="s">
        <v>21</v>
      </c>
      <c r="B22" s="100">
        <v>-0.13155658005549262</v>
      </c>
      <c r="C22" s="100">
        <v>81.924765632719655</v>
      </c>
      <c r="D22" s="11"/>
      <c r="E22" s="12"/>
      <c r="F22" s="12"/>
      <c r="G22" s="12"/>
    </row>
    <row r="23" ht="13.95" customHeight="1">
      <c r="A23" s="11" t="s">
        <v>22</v>
      </c>
      <c r="B23" s="100">
        <v>0.0016159908623224585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0.11071294712214677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-0.35330459017706151</v>
      </c>
      <c r="D3" s="11"/>
      <c r="E3" s="12"/>
      <c r="F3" s="12"/>
      <c r="G3" s="12"/>
    </row>
    <row r="4" ht="13.95" customHeight="1">
      <c r="A4" s="11" t="s">
        <v>3</v>
      </c>
      <c r="B4" s="15">
        <v>29135.544358830786</v>
      </c>
      <c r="C4" s="15">
        <v>29563.981716012833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1.4704971765945096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1.3343238703398486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1.2855080334433611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1.2594796584135981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1.486601499218243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1.566415368045071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1.8807291255349412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1.2533904929081352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33.211749961816189</v>
      </c>
      <c r="C14" s="15">
        <v>33.748942579524112</v>
      </c>
      <c r="D14" s="11"/>
      <c r="E14" s="12"/>
      <c r="F14" s="12"/>
      <c r="G14" s="12"/>
    </row>
    <row r="15" ht="13.95" customHeight="1">
      <c r="A15" s="11" t="s">
        <v>14</v>
      </c>
      <c r="B15" s="15">
        <v>11.385977944152129</v>
      </c>
      <c r="C15" s="15">
        <v>11.532930104819787</v>
      </c>
      <c r="D15" s="11"/>
      <c r="E15" s="12"/>
      <c r="F15" s="12"/>
      <c r="G15" s="12"/>
    </row>
    <row r="16" ht="13.95" customHeight="1">
      <c r="A16" s="11" t="s">
        <v>15</v>
      </c>
      <c r="B16" s="15">
        <v>23.852808780257771</v>
      </c>
      <c r="C16" s="15">
        <v>24.171082501559269</v>
      </c>
      <c r="D16" s="11"/>
      <c r="E16" s="12"/>
      <c r="F16" s="12"/>
      <c r="G16" s="12"/>
    </row>
    <row r="17" ht="13.95" customHeight="1">
      <c r="A17" s="11" t="s">
        <v>16</v>
      </c>
      <c r="B17" s="15">
        <v>0.66416060589871728</v>
      </c>
      <c r="C17" s="15">
        <v>0.67243252262154418</v>
      </c>
      <c r="D17" s="11"/>
      <c r="E17" s="12"/>
      <c r="F17" s="12"/>
      <c r="G17" s="12"/>
    </row>
    <row r="18" ht="13.95" customHeight="1">
      <c r="A18" s="16" t="s">
        <v>17</v>
      </c>
      <c r="B18" s="19">
        <v>57.728719347972678</v>
      </c>
      <c r="C18" s="19">
        <v>58.592457603704929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9.70791583746117</v>
      </c>
      <c r="D19" s="17"/>
      <c r="E19" s="12"/>
      <c r="F19" s="12"/>
      <c r="G19" s="12"/>
    </row>
    <row r="20" ht="13.95" customHeight="1">
      <c r="A20" s="11" t="s">
        <v>19</v>
      </c>
      <c r="B20" s="97">
        <v>-0.863738255732251</v>
      </c>
      <c r="C20" s="97">
        <v>25.658575825013223</v>
      </c>
      <c r="D20" s="11"/>
      <c r="E20" s="12"/>
      <c r="F20" s="12"/>
      <c r="G20" s="12"/>
    </row>
    <row r="21" ht="13.95" customHeight="1">
      <c r="A21" s="11" t="s">
        <v>20</v>
      </c>
      <c r="B21" s="100">
        <v>-0.77028808230150336</v>
      </c>
      <c r="C21" s="100">
        <v>1.5423312476560263</v>
      </c>
      <c r="D21" s="11"/>
      <c r="E21" s="12"/>
      <c r="F21" s="12"/>
      <c r="G21" s="12"/>
    </row>
    <row r="22" ht="13.95" customHeight="1">
      <c r="A22" s="11" t="s">
        <v>21</v>
      </c>
      <c r="B22" s="100">
        <v>-0.090021716597800228</v>
      </c>
      <c r="C22" s="100">
        <v>58.158841034619904</v>
      </c>
      <c r="D22" s="11"/>
      <c r="E22" s="12"/>
      <c r="F22" s="12"/>
      <c r="G22" s="12"/>
    </row>
    <row r="23" ht="13.95" customHeight="1">
      <c r="A23" s="11" t="s">
        <v>22</v>
      </c>
      <c r="B23" s="100">
        <v>-0.0035480845496015062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0.0001196277166565468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-0.44083899451756725</v>
      </c>
      <c r="D3" s="11"/>
      <c r="E3" s="12"/>
      <c r="F3" s="12"/>
      <c r="G3" s="12"/>
    </row>
    <row r="4" ht="13.95" customHeight="1">
      <c r="A4" s="11" t="s">
        <v>3</v>
      </c>
      <c r="B4" s="15">
        <v>24508.578161471371</v>
      </c>
      <c r="C4" s="15">
        <v>24723.362441403013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0.87636368995609448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0.73203679381026454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0.63085025112052939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0.55855358186411852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0.87070194497080866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0.93207766584915142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0.81710518933186815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0.71286251502427067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69.944034662626365</v>
      </c>
      <c r="C14" s="15">
        <v>70.4030702348706</v>
      </c>
      <c r="D14" s="11"/>
      <c r="E14" s="12"/>
      <c r="F14" s="12"/>
      <c r="G14" s="12"/>
    </row>
    <row r="15" ht="13.95" customHeight="1">
      <c r="A15" s="11" t="s">
        <v>14</v>
      </c>
      <c r="B15" s="15">
        <v>39.318399062738436</v>
      </c>
      <c r="C15" s="15">
        <v>39.532346110316347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0.34496647043971468</v>
      </c>
      <c r="C17" s="15">
        <v>0.34427825041028881</v>
      </c>
      <c r="D17" s="11"/>
      <c r="E17" s="12"/>
      <c r="F17" s="12"/>
      <c r="G17" s="12"/>
    </row>
    <row r="18" ht="13.95" customHeight="1">
      <c r="A18" s="16" t="s">
        <v>17</v>
      </c>
      <c r="B18" s="19">
        <v>70.28900113306608</v>
      </c>
      <c r="C18" s="19">
        <v>70.747348485280881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26.18183471300998</v>
      </c>
      <c r="D19" s="17"/>
      <c r="E19" s="12"/>
      <c r="F19" s="12"/>
      <c r="G19" s="12"/>
    </row>
    <row r="20" ht="13.95" customHeight="1">
      <c r="A20" s="11" t="s">
        <v>19</v>
      </c>
      <c r="B20" s="97">
        <v>-0.45834735221480116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-0.51454135029576509</v>
      </c>
      <c r="C21" s="100">
        <v>3.7152195567652555</v>
      </c>
      <c r="D21" s="11"/>
      <c r="E21" s="12"/>
      <c r="F21" s="12"/>
      <c r="G21" s="12"/>
    </row>
    <row r="22" ht="13.95" customHeight="1">
      <c r="A22" s="11" t="s">
        <v>21</v>
      </c>
      <c r="B22" s="100">
        <v>-0.017687974465803617</v>
      </c>
      <c r="C22" s="100">
        <v>48.799854035527517</v>
      </c>
      <c r="D22" s="11"/>
      <c r="E22" s="12"/>
      <c r="F22" s="12"/>
      <c r="G22" s="12"/>
    </row>
    <row r="23" ht="13.95" customHeight="1">
      <c r="A23" s="11" t="s">
        <v>22</v>
      </c>
      <c r="B23" s="100">
        <v>0.0056672787186419563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0.0682146938281267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-0.054118637512545753</v>
      </c>
      <c r="D3" s="11"/>
      <c r="E3" s="12"/>
      <c r="F3" s="12"/>
      <c r="G3" s="12"/>
    </row>
    <row r="4" ht="13.95" customHeight="1">
      <c r="A4" s="11" t="s">
        <v>3</v>
      </c>
      <c r="B4" s="15">
        <v>3559.7338778808485</v>
      </c>
      <c r="C4" s="15">
        <v>3556.3118308099747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-0.0961321039232077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-0.094579332556821161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-0.094891701725474675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-0.09382889129240235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-0.070409488896083783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0.095666085349144225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-0.21280775762454463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0.0020758606462223383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754.12322792406314</v>
      </c>
      <c r="C14" s="15">
        <v>752.24865026856537</v>
      </c>
      <c r="D14" s="11"/>
      <c r="E14" s="12"/>
      <c r="F14" s="12"/>
      <c r="G14" s="12"/>
    </row>
    <row r="15" ht="13.95" customHeight="1">
      <c r="A15" s="11" t="s">
        <v>14</v>
      </c>
      <c r="B15" s="15">
        <v>75.18330770792906</v>
      </c>
      <c r="C15" s="15">
        <v>74.899533066444036</v>
      </c>
      <c r="D15" s="11"/>
      <c r="E15" s="12"/>
      <c r="F15" s="12"/>
      <c r="G15" s="12"/>
    </row>
    <row r="16" ht="13.95" customHeight="1">
      <c r="A16" s="11" t="s">
        <v>15</v>
      </c>
      <c r="B16" s="15">
        <v>0.00517560764996291</v>
      </c>
      <c r="C16" s="15">
        <v>0.0051707125947918165</v>
      </c>
      <c r="D16" s="11"/>
      <c r="E16" s="12"/>
      <c r="F16" s="12"/>
      <c r="G16" s="12"/>
    </row>
    <row r="17" ht="13.95" customHeight="1">
      <c r="A17" s="11" t="s">
        <v>16</v>
      </c>
      <c r="B17" s="15">
        <v>12.120214810709054</v>
      </c>
      <c r="C17" s="15">
        <v>12.105908100831403</v>
      </c>
      <c r="D17" s="11"/>
      <c r="E17" s="12"/>
      <c r="F17" s="12"/>
      <c r="G17" s="12"/>
    </row>
    <row r="18" ht="13.95" customHeight="1">
      <c r="A18" s="16" t="s">
        <v>17</v>
      </c>
      <c r="B18" s="19">
        <v>766.24861834242211</v>
      </c>
      <c r="C18" s="19">
        <v>764.35972908199165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27.024048871093502</v>
      </c>
      <c r="D19" s="17"/>
      <c r="E19" s="12"/>
      <c r="F19" s="12"/>
      <c r="G19" s="12"/>
    </row>
    <row r="20" ht="13.95" customHeight="1">
      <c r="A20" s="11" t="s">
        <v>19</v>
      </c>
      <c r="B20" s="97">
        <v>1.8888892604304601</v>
      </c>
      <c r="C20" s="97">
        <v>0.0038765214077230354</v>
      </c>
      <c r="D20" s="11"/>
      <c r="E20" s="12"/>
      <c r="F20" s="12"/>
      <c r="G20" s="12"/>
    </row>
    <row r="21" ht="13.95" customHeight="1">
      <c r="A21" s="11" t="s">
        <v>20</v>
      </c>
      <c r="B21" s="100">
        <v>0.724712828954097</v>
      </c>
      <c r="C21" s="100">
        <v>22.239498162637926</v>
      </c>
      <c r="D21" s="11"/>
      <c r="E21" s="12"/>
      <c r="F21" s="12"/>
      <c r="G21" s="12"/>
    </row>
    <row r="22" ht="13.95" customHeight="1">
      <c r="A22" s="11" t="s">
        <v>21</v>
      </c>
      <c r="B22" s="100">
        <v>0.65140275260922964</v>
      </c>
      <c r="C22" s="100">
        <v>263.6277138723301</v>
      </c>
      <c r="D22" s="11"/>
      <c r="E22" s="12"/>
      <c r="F22" s="12"/>
      <c r="G22" s="12"/>
    </row>
    <row r="23" ht="13.95" customHeight="1">
      <c r="A23" s="11" t="s">
        <v>22</v>
      </c>
      <c r="B23" s="100">
        <v>0.21323097742571584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0.29954270144142303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4.6720030977073224</v>
      </c>
      <c r="D3" s="11"/>
      <c r="E3" s="12"/>
      <c r="F3" s="12"/>
      <c r="G3" s="12"/>
    </row>
    <row r="4" ht="13.95" customHeight="1">
      <c r="A4" s="11" t="s">
        <v>3</v>
      </c>
      <c r="B4" s="15">
        <v>24.205490147935048</v>
      </c>
      <c r="C4" s="15">
        <v>20.466896517882414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-15.44523001684215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-14.410476287685414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-14.412029195947806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-14.369227440324062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-14.356200262033481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-14.231213694311485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-14.355227347644506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-14.410010507396088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0.14787879583102451</v>
      </c>
      <c r="C14" s="15">
        <v>0.12746180730022239</v>
      </c>
      <c r="D14" s="11"/>
      <c r="E14" s="12"/>
      <c r="F14" s="12"/>
      <c r="G14" s="12"/>
    </row>
    <row r="15" ht="13.95" customHeight="1">
      <c r="A15" s="11" t="s">
        <v>14</v>
      </c>
      <c r="B15" s="15">
        <v>0.023148654404445353</v>
      </c>
      <c r="C15" s="15">
        <v>0.020160310655188269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0.013347070656685996</v>
      </c>
      <c r="C17" s="15">
        <v>0.010184017614426742</v>
      </c>
      <c r="D17" s="11"/>
      <c r="E17" s="12"/>
      <c r="F17" s="12"/>
      <c r="G17" s="12"/>
    </row>
    <row r="18" ht="13.95" customHeight="1">
      <c r="A18" s="16" t="s">
        <v>17</v>
      </c>
      <c r="B18" s="19">
        <v>0.16122586648771051</v>
      </c>
      <c r="C18" s="19">
        <v>0.13764582491464913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0.027604021594373241</v>
      </c>
      <c r="D19" s="17"/>
      <c r="E19" s="12"/>
      <c r="F19" s="12"/>
      <c r="G19" s="12"/>
    </row>
    <row r="20" ht="13.95" customHeight="1">
      <c r="A20" s="11" t="s">
        <v>19</v>
      </c>
      <c r="B20" s="97">
        <v>0.023580041573061372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97">
        <v>0.023233415259826862</v>
      </c>
      <c r="C21" s="97">
        <v>0.0030751615010226052</v>
      </c>
      <c r="D21" s="11"/>
      <c r="E21" s="12"/>
      <c r="F21" s="12"/>
      <c r="G21" s="12"/>
    </row>
    <row r="22" ht="13.95" customHeight="1">
      <c r="A22" s="11" t="s">
        <v>21</v>
      </c>
      <c r="B22" s="97">
        <v>-0.00052824481860675137</v>
      </c>
      <c r="C22" s="97">
        <v>0.18915750576247267</v>
      </c>
      <c r="D22" s="11"/>
      <c r="E22" s="12"/>
      <c r="F22" s="12"/>
      <c r="G22" s="12"/>
    </row>
    <row r="23" ht="13.95" customHeight="1">
      <c r="A23" s="11" t="s">
        <v>22</v>
      </c>
      <c r="B23" s="97">
        <v>-0.0003379390514922607</v>
      </c>
      <c r="C23" s="97"/>
      <c r="D23" s="11"/>
      <c r="E23" s="12"/>
      <c r="F23" s="12"/>
      <c r="G23" s="12"/>
    </row>
    <row r="24" hidden="1" ht="13.95" customHeight="1">
      <c r="A24" s="11" t="s">
        <v>23</v>
      </c>
      <c r="B24" s="20">
        <v>0</v>
      </c>
      <c r="C24" s="20"/>
      <c r="D24" s="11"/>
      <c r="E24" s="12"/>
      <c r="F24" s="12"/>
      <c r="G24" s="12"/>
    </row>
    <row r="25" ht="13.95" customHeight="1">
      <c r="A25" s="16" t="s">
        <v>24</v>
      </c>
      <c r="B25" s="99">
        <v>0.0012128101833335241</v>
      </c>
      <c r="C25" s="99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8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19:C19"/>
    <mergeCell ref="B25:C25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K71"/>
  <sheetViews>
    <sheetView zoomScaleNormal="100" workbookViewId="0">
      <selection activeCell="G19" sqref="G19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-0.46753270137644964</v>
      </c>
      <c r="D3" s="11"/>
      <c r="E3" s="12"/>
      <c r="F3" s="12"/>
      <c r="G3" s="12"/>
    </row>
    <row r="4" ht="13.95" customHeight="1">
      <c r="A4" s="11" t="s">
        <v>3</v>
      </c>
      <c r="B4" s="15">
        <v>5868.16116014465</v>
      </c>
      <c r="C4" s="15">
        <v>5857.40613777797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-0.18327755617426611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-0.19122434131463306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-0.19169472410480726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-0.19426364375076943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-0.19175432674792825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-0.078441823669483934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-0.23925483073841125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-0.23902464862296524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1227.7507495674765</v>
      </c>
      <c r="C14" s="15">
        <v>1224.6598764844025</v>
      </c>
      <c r="D14" s="11"/>
      <c r="E14" s="12"/>
      <c r="F14" s="12"/>
      <c r="G14" s="12"/>
    </row>
    <row r="15" ht="13.95" customHeight="1">
      <c r="A15" s="11" t="s">
        <v>14</v>
      </c>
      <c r="B15" s="15">
        <v>69.084537323450931</v>
      </c>
      <c r="C15" s="15">
        <v>68.93462762569969</v>
      </c>
      <c r="D15" s="11"/>
      <c r="E15" s="12"/>
      <c r="F15" s="12"/>
      <c r="G15" s="12"/>
    </row>
    <row r="16" ht="13.95" customHeight="1">
      <c r="A16" s="11" t="s">
        <v>15</v>
      </c>
      <c r="B16" s="15">
        <v>16.188631834373368</v>
      </c>
      <c r="C16" s="15">
        <v>16.157589432389706</v>
      </c>
      <c r="D16" s="11"/>
      <c r="E16" s="12"/>
      <c r="F16" s="12"/>
      <c r="G16" s="12"/>
    </row>
    <row r="17" ht="13.95" customHeight="1">
      <c r="A17" s="11" t="s">
        <v>16</v>
      </c>
      <c r="B17" s="15">
        <v>466.92353662430281</v>
      </c>
      <c r="C17" s="15">
        <v>466.02330156641909</v>
      </c>
      <c r="D17" s="11"/>
      <c r="E17" s="12"/>
      <c r="J17" s="12"/>
      <c r="K17" s="12"/>
    </row>
    <row r="18" ht="13.95" customHeight="1">
      <c r="A18" s="11" t="s">
        <v>372</v>
      </c>
      <c r="B18" s="15">
        <v>0</v>
      </c>
      <c r="C18" s="15">
        <v>0</v>
      </c>
      <c r="D18" s="11"/>
      <c r="E18" s="12"/>
      <c r="J18" s="12"/>
      <c r="K18" s="12"/>
    </row>
    <row r="19" ht="13.95" customHeight="1">
      <c r="A19" s="16" t="s">
        <v>17</v>
      </c>
      <c r="B19" s="33">
        <v>1710.8629180261526</v>
      </c>
      <c r="C19" s="14">
        <v>1706.8407674832113</v>
      </c>
      <c r="D19" s="16"/>
      <c r="E19" s="12"/>
      <c r="J19" s="12">
        <f>SUM(B14:B17)-B18-B15</f>
        <v>1710.8629180261528</v>
      </c>
      <c r="K19" s="12">
        <f>SUM(C14:C17)-C18-C15</f>
        <v>1706.8407674832113</v>
      </c>
    </row>
    <row r="20" ht="13.95" customHeight="1">
      <c r="A20" s="11"/>
      <c r="B20" s="98" t="s">
        <v>18</v>
      </c>
      <c r="C20" s="102">
        <v>9.0475292848711355</v>
      </c>
      <c r="D20" s="11"/>
      <c r="E20" s="12"/>
      <c r="J20" s="12"/>
      <c r="K20" s="12"/>
    </row>
    <row r="21" ht="13.95" customHeight="1">
      <c r="A21" s="11" t="s">
        <v>19</v>
      </c>
      <c r="B21" s="104">
        <v>4.02215054294129</v>
      </c>
      <c r="C21" s="104"/>
      <c r="D21" s="34"/>
      <c r="E21" s="12"/>
      <c r="J21" s="12">
        <f>B19-C19</f>
        <v>4.02215054294129</v>
      </c>
      <c r="K21" s="12"/>
    </row>
    <row r="22" ht="13.95" customHeight="1">
      <c r="A22" s="11" t="s">
        <v>20</v>
      </c>
      <c r="B22" s="104">
        <v>3.2715863457918046</v>
      </c>
      <c r="C22" s="104"/>
      <c r="D22" s="11"/>
      <c r="E22" s="12"/>
      <c r="J22" s="12">
        <f>SUM(B22:C27)</f>
        <v>4.0221505429411151</v>
      </c>
      <c r="K22" s="12"/>
    </row>
    <row r="23" ht="13.95" customHeight="1">
      <c r="A23" s="11" t="s">
        <v>21</v>
      </c>
      <c r="B23" s="97">
        <v>0.1708184837488583</v>
      </c>
      <c r="C23" s="97"/>
      <c r="D23" s="11"/>
      <c r="E23" s="12"/>
      <c r="J23" s="12"/>
      <c r="K23" s="12"/>
    </row>
    <row r="24" ht="13.95" customHeight="1">
      <c r="A24" s="11" t="s">
        <v>22</v>
      </c>
      <c r="B24" s="97">
        <v>0.015703558278344472</v>
      </c>
      <c r="C24" s="97"/>
      <c r="D24" s="11"/>
      <c r="E24" s="12"/>
      <c r="F24" s="12"/>
      <c r="G24" s="12"/>
    </row>
    <row r="25" ht="13.95" customHeight="1">
      <c r="A25" s="11" t="s">
        <v>23</v>
      </c>
      <c r="B25" s="97">
        <v>0.0048889738036770967</v>
      </c>
      <c r="C25" s="97"/>
      <c r="D25" s="11"/>
      <c r="E25" s="12"/>
      <c r="F25" s="12"/>
      <c r="G25" s="12"/>
    </row>
    <row r="26" ht="13.95" customHeight="1">
      <c r="A26" s="11" t="s">
        <v>374</v>
      </c>
      <c r="B26" s="97">
        <v>0</v>
      </c>
      <c r="C26" s="97"/>
      <c r="D26" s="11"/>
      <c r="E26" s="12"/>
      <c r="F26" s="12"/>
      <c r="G26" s="12"/>
    </row>
    <row r="27">
      <c r="A27" s="16" t="s">
        <v>24</v>
      </c>
      <c r="B27" s="103">
        <v>0.55915318131843</v>
      </c>
      <c r="C27" s="103"/>
      <c r="D27" s="16"/>
      <c r="E27" s="87">
        <v>0.60537221804278452</v>
      </c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8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6:C26"/>
    <mergeCell ref="B27:C27"/>
    <mergeCell ref="B20:C20"/>
    <mergeCell ref="B21:C21"/>
    <mergeCell ref="B22:C22"/>
    <mergeCell ref="B23:C23"/>
    <mergeCell ref="B24:C24"/>
    <mergeCell ref="B25:C25"/>
  </mergeCells>
  <pageMargins left="0.7" right="0.7" top="0.75" bottom="0.75" header="0.3" footer="0.3"/>
  <pageSetup paperSize="9" orientation="portrait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G72"/>
  <sheetViews>
    <sheetView zoomScaleNormal="100" workbookViewId="0">
      <selection activeCell="F19" sqref="F19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-0.10814852863308966</v>
      </c>
      <c r="D3" s="11"/>
      <c r="E3" s="12"/>
      <c r="F3" s="12"/>
      <c r="G3" s="12"/>
    </row>
    <row r="4" ht="13.95" customHeight="1">
      <c r="A4" s="11" t="s">
        <v>3</v>
      </c>
      <c r="B4" s="15">
        <v>3975.0669875244162</v>
      </c>
      <c r="C4" s="15">
        <v>3930.5759316331278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-1.1192529844382904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-1.1361895526367016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-1.1404731427258508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-1.1379893634949734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-0.85164217304287693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-0.8610515415888087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-1.253153361357795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-0.5037216916542353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237.33933883803462</v>
      </c>
      <c r="C14" s="15">
        <v>237.00206741365963</v>
      </c>
      <c r="D14" s="11"/>
      <c r="E14" s="12"/>
      <c r="F14" s="12"/>
      <c r="G14" s="12"/>
    </row>
    <row r="15" ht="13.95" customHeight="1">
      <c r="A15" s="11" t="s">
        <v>14</v>
      </c>
      <c r="B15" s="15">
        <v>2.5947389856436058</v>
      </c>
      <c r="C15" s="15">
        <v>2.6049693016045925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28.680420618770185</v>
      </c>
      <c r="C17" s="15">
        <v>28.343327010618282</v>
      </c>
      <c r="D17" s="11"/>
      <c r="E17" s="12"/>
      <c r="F17" s="12"/>
      <c r="G17" s="12"/>
    </row>
    <row r="18" ht="13.95" customHeight="1">
      <c r="A18" s="11" t="s">
        <v>372</v>
      </c>
      <c r="B18" s="15">
        <v>967.089884874492</v>
      </c>
      <c r="C18" s="15">
        <v>969.32967002895668</v>
      </c>
      <c r="D18" s="11"/>
      <c r="E18" s="12"/>
      <c r="F18" s="12"/>
      <c r="G18" s="12"/>
    </row>
    <row r="19" ht="13.95" customHeight="1">
      <c r="A19" s="16" t="s">
        <v>17</v>
      </c>
      <c r="B19" s="33">
        <v>-701.07012541768677</v>
      </c>
      <c r="C19" s="14">
        <v>-703.98427560467837</v>
      </c>
      <c r="D19" s="16"/>
      <c r="E19" s="12"/>
      <c r="F19" s="12"/>
      <c r="G19" s="12">
        <f>B17+B14</f>
        <v>266.01975945680482</v>
      </c>
    </row>
    <row r="20" ht="13.95" customHeight="1">
      <c r="A20" s="11"/>
      <c r="B20" s="98" t="s">
        <v>18</v>
      </c>
      <c r="C20" s="102">
        <v>9.0475292848711355</v>
      </c>
      <c r="D20" s="11"/>
      <c r="E20" s="12"/>
      <c r="F20" s="12"/>
      <c r="G20" s="12"/>
    </row>
    <row r="21" ht="13.95" customHeight="1">
      <c r="A21" s="11" t="s">
        <v>19</v>
      </c>
      <c r="B21" s="104">
        <v>2.9141501869916056</v>
      </c>
      <c r="C21" s="104"/>
      <c r="D21" s="17"/>
      <c r="E21" s="12"/>
      <c r="F21" s="12"/>
      <c r="G21" s="12"/>
    </row>
    <row r="22" ht="13.95" customHeight="1">
      <c r="A22" s="11" t="s">
        <v>20</v>
      </c>
      <c r="B22" s="104">
        <v>-7.9654855216527558</v>
      </c>
      <c r="C22" s="104"/>
      <c r="D22" s="11"/>
      <c r="E22" s="12"/>
      <c r="F22" s="12"/>
      <c r="G22" s="12"/>
    </row>
    <row r="23" ht="13.95" customHeight="1">
      <c r="A23" s="11" t="s">
        <v>21</v>
      </c>
      <c r="B23" s="97">
        <v>-2.5121125849953394</v>
      </c>
      <c r="C23" s="97"/>
      <c r="D23" s="11"/>
      <c r="E23" s="12"/>
      <c r="F23" s="12"/>
      <c r="G23" s="12"/>
    </row>
    <row r="24" ht="13.95" customHeight="1">
      <c r="A24" s="11" t="s">
        <v>22</v>
      </c>
      <c r="B24" s="97">
        <v>-0.039758169628068517</v>
      </c>
      <c r="C24" s="97"/>
      <c r="D24" s="11"/>
      <c r="E24" s="12"/>
      <c r="F24" s="12"/>
      <c r="G24" s="12"/>
    </row>
    <row r="25" ht="13.95" customHeight="1">
      <c r="A25" s="11" t="s">
        <v>23</v>
      </c>
      <c r="B25" s="97">
        <v>0.092839050756369959</v>
      </c>
      <c r="C25" s="97"/>
      <c r="D25" s="11"/>
      <c r="E25" s="12"/>
      <c r="F25" s="12"/>
      <c r="G25" s="12"/>
    </row>
    <row r="26" ht="13.95" customHeight="1">
      <c r="A26" s="11" t="s">
        <v>374</v>
      </c>
      <c r="B26" s="97">
        <v>2.2397851544646983</v>
      </c>
      <c r="C26" s="97"/>
      <c r="D26" s="11"/>
      <c r="E26" s="12"/>
      <c r="F26" s="12"/>
      <c r="G26" s="12"/>
    </row>
    <row r="27" ht="13.95" customHeight="1">
      <c r="A27" s="16" t="s">
        <v>24</v>
      </c>
      <c r="B27" s="103">
        <v>11.098882258046658</v>
      </c>
      <c r="C27" s="103"/>
      <c r="D27" s="16"/>
      <c r="E27" s="87">
        <v>0.99999999983202</v>
      </c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>
        <f>SUM(B23:C27)</f>
        <v>10.879635708644319</v>
      </c>
      <c r="C31" s="12">
        <f>B19-C19</f>
        <v>2.9141501869916056</v>
      </c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>
        <f>B31-C31</f>
        <v>7.9654855216527132</v>
      </c>
      <c r="D33" s="12"/>
      <c r="E33" s="12"/>
      <c r="F33" s="12">
        <f>B26+B25+B24</f>
        <v>2.2928660355929997</v>
      </c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8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  <row r="72">
      <c r="A72" s="12"/>
      <c r="B72" s="12"/>
      <c r="C72" s="12"/>
      <c r="D72" s="12"/>
      <c r="E72" s="12"/>
      <c r="F72" s="12"/>
      <c r="G72" s="12"/>
    </row>
  </sheetData>
  <mergeCells>
    <mergeCell ref="B13:C13"/>
    <mergeCell ref="B21:C21"/>
    <mergeCell ref="B20:C20"/>
    <mergeCell ref="B26:C26"/>
    <mergeCell ref="B27:C27"/>
    <mergeCell ref="B22:C22"/>
    <mergeCell ref="B23:C23"/>
    <mergeCell ref="B24:C24"/>
    <mergeCell ref="B25:C25"/>
  </mergeCells>
  <pageMargins left="0.7" right="0.7" top="0.75" bottom="0.75" header="0.3" footer="0.3"/>
  <pageSetup paperSize="9" orientation="portrait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-0.438987277227576</v>
      </c>
      <c r="D3" s="11"/>
      <c r="E3" s="12"/>
      <c r="F3" s="12"/>
      <c r="G3" s="12"/>
    </row>
    <row r="4" ht="13.95" customHeight="1">
      <c r="A4" s="11" t="s">
        <v>3</v>
      </c>
      <c r="B4" s="15">
        <v>38193.294834179243</v>
      </c>
      <c r="C4" s="15">
        <v>38652.9865420637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1.2035926983525958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1.2137719275623571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1.212288822176899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1.2094085378844932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1.2128227334774921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1.3255399462692719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 t="e">
        <f>NA()</f>
        <v>#N/A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1.1618254131609884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20.286540271536555</v>
      </c>
      <c r="C14" s="15">
        <v>20.686151623948913</v>
      </c>
      <c r="D14" s="11"/>
      <c r="E14" s="12"/>
      <c r="F14" s="12"/>
      <c r="G14" s="12"/>
    </row>
    <row r="15" ht="13.95" customHeight="1">
      <c r="A15" s="11" t="s">
        <v>14</v>
      </c>
      <c r="B15" s="15">
        <v>20.286540270756483</v>
      </c>
      <c r="C15" s="15">
        <v>20.686151623246804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0.33702620534071964</v>
      </c>
      <c r="C17" s="15">
        <v>0.33677936355398763</v>
      </c>
      <c r="D17" s="11"/>
      <c r="E17" s="12"/>
      <c r="F17" s="12"/>
      <c r="G17" s="12"/>
    </row>
    <row r="18" ht="13.95" customHeight="1">
      <c r="A18" s="16" t="s">
        <v>17</v>
      </c>
      <c r="B18" s="19">
        <v>20.623566476877276</v>
      </c>
      <c r="C18" s="19">
        <v>21.0229309875029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9.0475292848711355</v>
      </c>
      <c r="D19" s="17"/>
      <c r="E19" s="12"/>
      <c r="F19" s="12"/>
      <c r="G19" s="12"/>
    </row>
    <row r="20" ht="13.95" customHeight="1">
      <c r="A20" s="11" t="s">
        <v>19</v>
      </c>
      <c r="B20" s="97">
        <v>-0.39936451062562384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-0.25032306035849639</v>
      </c>
      <c r="C21" s="100">
        <v>0.40221812711111049</v>
      </c>
      <c r="D21" s="11"/>
      <c r="E21" s="12"/>
      <c r="F21" s="12"/>
      <c r="G21" s="12"/>
    </row>
    <row r="22" ht="13.95" customHeight="1">
      <c r="A22" s="11" t="s">
        <v>21</v>
      </c>
      <c r="B22" s="100">
        <v>8.7027386030680968E-11</v>
      </c>
      <c r="C22" s="100">
        <v>9.4497474140523039</v>
      </c>
      <c r="D22" s="11"/>
      <c r="E22" s="12"/>
      <c r="F22" s="12"/>
      <c r="G22" s="12"/>
    </row>
    <row r="23" ht="13.95" customHeight="1">
      <c r="A23" s="11" t="s">
        <v>22</v>
      </c>
      <c r="B23" s="100">
        <v>-0.15426420241441707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0.0052227520602615152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-1.3835878099644261</v>
      </c>
      <c r="D3" s="11"/>
      <c r="E3" s="12"/>
      <c r="F3" s="12"/>
      <c r="G3" s="12"/>
    </row>
    <row r="4" ht="13.95" customHeight="1">
      <c r="A4" s="11" t="s">
        <v>3</v>
      </c>
      <c r="B4" s="15">
        <v>334.24250166141258</v>
      </c>
      <c r="C4" s="15">
        <v>335.86035125961035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0.48403467247759568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-0.072785495162097646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-0.071334503398712279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-0.085543580467772884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-0.095400003178713888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-0.018919465620070852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0.0016072548996826086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-0.77763169052842418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3.90052904024294</v>
      </c>
      <c r="C14" s="15">
        <v>3.8885356578817474</v>
      </c>
      <c r="D14" s="11"/>
      <c r="E14" s="12"/>
      <c r="F14" s="12"/>
      <c r="G14" s="12"/>
    </row>
    <row r="15" ht="13.95" customHeight="1">
      <c r="A15" s="11" t="s">
        <v>14</v>
      </c>
      <c r="B15" s="15">
        <v>0.22642853893479345</v>
      </c>
      <c r="C15" s="15">
        <v>0.22615615548935814</v>
      </c>
      <c r="D15" s="11"/>
      <c r="E15" s="12"/>
      <c r="F15" s="12"/>
      <c r="G15" s="12"/>
    </row>
    <row r="16" ht="13.95" customHeight="1">
      <c r="A16" s="11" t="s">
        <v>15</v>
      </c>
      <c r="B16" s="15">
        <v>0.011727908380743049</v>
      </c>
      <c r="C16" s="15">
        <v>0.011719372164555968</v>
      </c>
      <c r="D16" s="11"/>
      <c r="E16" s="12"/>
      <c r="F16" s="12"/>
      <c r="G16" s="12"/>
    </row>
    <row r="17" ht="13.95" customHeight="1">
      <c r="A17" s="11" t="s">
        <v>16</v>
      </c>
      <c r="B17" s="15">
        <v>3.1867167368305149</v>
      </c>
      <c r="C17" s="15">
        <v>3.1829803631816946</v>
      </c>
      <c r="D17" s="11"/>
      <c r="E17" s="12"/>
      <c r="F17" s="12"/>
      <c r="G17" s="12"/>
    </row>
    <row r="18" ht="13.95" customHeight="1">
      <c r="A18" s="16" t="s">
        <v>17</v>
      </c>
      <c r="B18" s="19">
        <v>7.0989736854541983</v>
      </c>
      <c r="C18" s="19">
        <v>7.0832353932279988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0.76026473313955367</v>
      </c>
      <c r="D19" s="17"/>
      <c r="E19" s="12"/>
      <c r="F19" s="12"/>
      <c r="G19" s="12"/>
    </row>
    <row r="20" ht="13.95" customHeight="1">
      <c r="A20" s="11" t="s">
        <v>19</v>
      </c>
      <c r="B20" s="97">
        <v>0.015738292226199491</v>
      </c>
      <c r="C20" s="97">
        <v>0.043764245169274213</v>
      </c>
      <c r="D20" s="11"/>
      <c r="E20" s="12"/>
      <c r="F20" s="12"/>
      <c r="G20" s="12"/>
    </row>
    <row r="21" ht="13.95" customHeight="1">
      <c r="A21" s="11" t="s">
        <v>20</v>
      </c>
      <c r="B21" s="100">
        <v>0.0051670231483849464</v>
      </c>
      <c r="C21" s="100">
        <v>24.550220181670248</v>
      </c>
      <c r="D21" s="11"/>
      <c r="E21" s="12"/>
      <c r="F21" s="12"/>
      <c r="G21" s="12"/>
    </row>
    <row r="22" ht="13.95" customHeight="1">
      <c r="A22" s="11" t="s">
        <v>21</v>
      </c>
      <c r="B22" s="100">
        <v>0.0085384095236229352</v>
      </c>
      <c r="C22" s="100">
        <v>27.013696571847092</v>
      </c>
      <c r="D22" s="11"/>
      <c r="E22" s="12"/>
      <c r="F22" s="12"/>
      <c r="G22" s="12"/>
    </row>
    <row r="23" ht="13.95" customHeight="1">
      <c r="A23" s="11" t="s">
        <v>22</v>
      </c>
      <c r="B23" s="100">
        <v>7.8688366029604036E-05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0.0019541711881618643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-0.32269781771736561</v>
      </c>
      <c r="D3" s="11"/>
      <c r="E3" s="12"/>
      <c r="F3" s="12"/>
      <c r="G3" s="12"/>
    </row>
    <row r="4" ht="13.95" customHeight="1">
      <c r="A4" s="11" t="s">
        <v>3</v>
      </c>
      <c r="B4" s="15">
        <v>3513.6753488197046</v>
      </c>
      <c r="C4" s="15">
        <v>3618.8798715080352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2.9941446560698859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2.9840925253974415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2.9793862013027361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2.9819032327892181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2.9959316497710775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3.142848761730388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2.965045187726445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2.9726424882315694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2.35691841422284</v>
      </c>
      <c r="C14" s="15">
        <v>2.42618372177027</v>
      </c>
      <c r="D14" s="11"/>
      <c r="E14" s="12"/>
      <c r="F14" s="12"/>
      <c r="G14" s="12"/>
    </row>
    <row r="15" ht="13.95" customHeight="1">
      <c r="A15" s="11" t="s">
        <v>14</v>
      </c>
      <c r="B15" s="15">
        <v>1.4169120197895928</v>
      </c>
      <c r="C15" s="15">
        <v>1.4588976583485511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470.94702897936719</v>
      </c>
      <c r="C17" s="15">
        <v>484.98997572057419</v>
      </c>
      <c r="D17" s="11"/>
      <c r="E17" s="12"/>
      <c r="F17" s="12"/>
      <c r="G17" s="12"/>
    </row>
    <row r="18" ht="13.95" customHeight="1">
      <c r="A18" s="16" t="s">
        <v>17</v>
      </c>
      <c r="B18" s="19">
        <v>473.30394739359</v>
      </c>
      <c r="C18" s="19">
        <v>487.41615944234445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0.77498543786301732</v>
      </c>
      <c r="D19" s="17"/>
      <c r="E19" s="12"/>
      <c r="F19" s="12"/>
      <c r="G19" s="12"/>
    </row>
    <row r="20" ht="13.95" customHeight="1">
      <c r="A20" s="11" t="s">
        <v>19</v>
      </c>
      <c r="B20" s="97">
        <v>-14.112212048754429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-14.123827716583152</v>
      </c>
      <c r="C21" s="100">
        <v>341.31475389886009</v>
      </c>
      <c r="D21" s="11"/>
      <c r="E21" s="12"/>
      <c r="F21" s="12"/>
      <c r="G21" s="12"/>
    </row>
    <row r="22" ht="13.95" customHeight="1">
      <c r="A22" s="11" t="s">
        <v>21</v>
      </c>
      <c r="B22" s="100">
        <v>0.00059776135399537656</v>
      </c>
      <c r="C22" s="100">
        <v>342.68478726644611</v>
      </c>
      <c r="D22" s="11"/>
      <c r="E22" s="12"/>
      <c r="F22" s="12"/>
      <c r="G22" s="12"/>
    </row>
    <row r="23" ht="13.95" customHeight="1">
      <c r="A23" s="11" t="s">
        <v>22</v>
      </c>
      <c r="B23" s="100">
        <v>0.00026530676492656923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0.01075259970980383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-0.23956421601221134</v>
      </c>
      <c r="D3" s="11"/>
      <c r="E3" s="12"/>
      <c r="F3" s="12"/>
      <c r="G3" s="12"/>
    </row>
    <row r="4" ht="13.95" customHeight="1">
      <c r="A4" s="11" t="s">
        <v>3</v>
      </c>
      <c r="B4" s="15">
        <v>9191.3523060966854</v>
      </c>
      <c r="C4" s="15">
        <v>9194.9865510532636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0.039539828694934442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-0.096097131706351924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-0.096672176711154467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-0.10174640046318739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-0.071315341818301015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0.10754182992231964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-0.98795464865417681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0.35739999815336265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385.95208920895158</v>
      </c>
      <c r="C14" s="15">
        <v>391.1701852017892</v>
      </c>
      <c r="D14" s="11"/>
      <c r="E14" s="12"/>
      <c r="F14" s="12"/>
      <c r="G14" s="12"/>
    </row>
    <row r="15" ht="13.95" customHeight="1">
      <c r="A15" s="11" t="s">
        <v>14</v>
      </c>
      <c r="B15" s="15">
        <v>4.3436423663991972</v>
      </c>
      <c r="C15" s="15">
        <v>4.447731061381516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33.447895046271455</v>
      </c>
      <c r="C17" s="15">
        <v>32.608324995823047</v>
      </c>
      <c r="D17" s="11"/>
      <c r="E17" s="12"/>
      <c r="F17" s="12"/>
      <c r="G17" s="12"/>
    </row>
    <row r="18" ht="13.95" customHeight="1">
      <c r="A18" s="16" t="s">
        <v>17</v>
      </c>
      <c r="B18" s="19">
        <v>419.39998425522305</v>
      </c>
      <c r="C18" s="19">
        <v>423.77851019761221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1.303187094444795</v>
      </c>
      <c r="D19" s="17"/>
      <c r="E19" s="12"/>
      <c r="F19" s="12"/>
      <c r="G19" s="12"/>
    </row>
    <row r="20" ht="13.95" customHeight="1">
      <c r="A20" s="11" t="s">
        <v>19</v>
      </c>
      <c r="B20" s="97">
        <v>-4.37852594238916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0.40303135524614325</v>
      </c>
      <c r="C21" s="100">
        <v>42.173689155992065</v>
      </c>
      <c r="D21" s="11"/>
      <c r="E21" s="12"/>
      <c r="F21" s="12"/>
      <c r="G21" s="12"/>
    </row>
    <row r="22" ht="13.95" customHeight="1">
      <c r="A22" s="11" t="s">
        <v>21</v>
      </c>
      <c r="B22" s="100">
        <v>-5.5745048534270714</v>
      </c>
      <c r="C22" s="100">
        <v>204.23591361987729</v>
      </c>
      <c r="D22" s="11"/>
      <c r="E22" s="12"/>
      <c r="F22" s="12"/>
      <c r="G22" s="12"/>
    </row>
    <row r="23" ht="13.95" customHeight="1">
      <c r="A23" s="11" t="s">
        <v>22</v>
      </c>
      <c r="B23" s="100">
        <v>-0.10850819473912383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0.90145575053086169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G71"/>
  <sheetViews>
    <sheetView zoomScaleNormal="100" workbookViewId="0">
      <selection activeCell="F22" sqref="F22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-0.44901319521457594</v>
      </c>
      <c r="D3" s="11"/>
      <c r="E3" s="12"/>
      <c r="F3" s="12"/>
      <c r="G3" s="12"/>
    </row>
    <row r="4" ht="13.95" customHeight="1">
      <c r="A4" s="11" t="s">
        <v>3</v>
      </c>
      <c r="B4" s="15">
        <v>1664.4537760245535</v>
      </c>
      <c r="C4" s="15">
        <v>1666.69173341348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0.13445596514383151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0.13221434506289764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0.13243093900692227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0.12392503166989144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0.1393556155364184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0.27460476493603725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 t="e">
        <f>NA()</f>
        <v>#N/A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0.10963104650854039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0.80200120775810979</v>
      </c>
      <c r="C14" s="15">
        <v>0.821412334395172</v>
      </c>
      <c r="D14" s="11"/>
      <c r="E14" s="12"/>
      <c r="F14" s="12"/>
      <c r="G14" s="12"/>
    </row>
    <row r="15" ht="13.95" customHeight="1">
      <c r="A15" s="11" t="s">
        <v>14</v>
      </c>
      <c r="B15" s="15">
        <v>0.8020012072339322</v>
      </c>
      <c r="C15" s="15">
        <v>0.82141233388398494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0.066692645462045647</v>
      </c>
      <c r="C17" s="15">
        <v>0.065741570372716537</v>
      </c>
      <c r="D17" s="11"/>
      <c r="E17" s="12"/>
      <c r="F17" s="12"/>
      <c r="G17" s="12"/>
    </row>
    <row r="18" ht="13.95" customHeight="1">
      <c r="A18" s="16" t="s">
        <v>17</v>
      </c>
      <c r="B18" s="19">
        <v>0.86869385322015547</v>
      </c>
      <c r="C18" s="19">
        <v>0.88715390476788858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0.39874634674281723</v>
      </c>
      <c r="D19" s="17"/>
      <c r="E19" s="12"/>
      <c r="F19" s="12"/>
      <c r="G19" s="12"/>
    </row>
    <row r="20" ht="13.95" customHeight="1">
      <c r="A20" s="11" t="s">
        <v>19</v>
      </c>
      <c r="B20" s="97">
        <v>-0.018460051547733114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-0.0011485378886366118</v>
      </c>
      <c r="C21" s="100">
        <v>0.10911206480188668</v>
      </c>
      <c r="D21" s="11"/>
      <c r="E21" s="12"/>
      <c r="F21" s="12"/>
      <c r="G21" s="12"/>
    </row>
    <row r="22" ht="13.95" customHeight="1">
      <c r="A22" s="11" t="s">
        <v>21</v>
      </c>
      <c r="B22" s="100">
        <v>1.3565162486146396E-11</v>
      </c>
      <c r="C22" s="100">
        <v>0.50785841210958871</v>
      </c>
      <c r="D22" s="11"/>
      <c r="E22" s="12"/>
      <c r="F22" s="12"/>
      <c r="G22" s="12"/>
    </row>
    <row r="23" ht="13.95" customHeight="1">
      <c r="A23" s="11" t="s">
        <v>22</v>
      </c>
      <c r="B23" s="100">
        <v>-0.01841724639999507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0.0011057327273333792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-0.427276945754651</v>
      </c>
      <c r="D3" s="11"/>
      <c r="E3" s="12"/>
      <c r="F3" s="12"/>
      <c r="G3" s="12"/>
    </row>
    <row r="4" ht="13.95" customHeight="1">
      <c r="A4" s="11" t="s">
        <v>3</v>
      </c>
      <c r="B4" s="15">
        <v>9900.0151736684256</v>
      </c>
      <c r="C4" s="15">
        <v>9795.4156063105347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-1.0565596670609079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-1.0607744194881197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-1.060786026168381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-1.0631607251800235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-1.0530217134095965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-0.918917982111378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-1.0747868746240563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-1.0868178965141695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64.24676368961309</v>
      </c>
      <c r="C14" s="15">
        <v>63.639022940283681</v>
      </c>
      <c r="D14" s="11"/>
      <c r="E14" s="12"/>
      <c r="F14" s="12"/>
      <c r="G14" s="12"/>
    </row>
    <row r="15" ht="13.95" customHeight="1">
      <c r="A15" s="11" t="s">
        <v>14</v>
      </c>
      <c r="B15" s="15">
        <v>56.727199395066684</v>
      </c>
      <c r="C15" s="15">
        <v>56.146498076753794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150.50194202658474</v>
      </c>
      <c r="C17" s="15">
        <v>148.88996968006782</v>
      </c>
      <c r="D17" s="11"/>
      <c r="E17" s="12"/>
      <c r="F17" s="12"/>
      <c r="G17" s="12"/>
    </row>
    <row r="18" ht="13.95" customHeight="1">
      <c r="A18" s="16" t="s">
        <v>17</v>
      </c>
      <c r="B18" s="19">
        <v>214.74870571619786</v>
      </c>
      <c r="C18" s="19">
        <v>212.52899262035149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42.218410597968628</v>
      </c>
      <c r="D19" s="17"/>
      <c r="E19" s="12"/>
      <c r="F19" s="12"/>
      <c r="G19" s="12"/>
    </row>
    <row r="20" ht="13.95" customHeight="1">
      <c r="A20" s="11" t="s">
        <v>19</v>
      </c>
      <c r="B20" s="97">
        <v>2.2197130958463731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2.2779993364192466</v>
      </c>
      <c r="C21" s="100">
        <v>182.9070372750308</v>
      </c>
      <c r="D21" s="11"/>
      <c r="E21" s="12"/>
      <c r="F21" s="12"/>
      <c r="G21" s="12"/>
    </row>
    <row r="22" ht="13.95" customHeight="1">
      <c r="A22" s="11" t="s">
        <v>21</v>
      </c>
      <c r="B22" s="100">
        <v>-0.054548115133577782</v>
      </c>
      <c r="C22" s="100">
        <v>228.27641597815131</v>
      </c>
      <c r="D22" s="11"/>
      <c r="E22" s="12"/>
      <c r="F22" s="12"/>
      <c r="G22" s="12"/>
    </row>
    <row r="23" ht="13.95" customHeight="1">
      <c r="A23" s="11" t="s">
        <v>22</v>
      </c>
      <c r="B23" s="100">
        <v>-0.022399986150020382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0.018661860710728374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G60"/>
  <sheetViews>
    <sheetView zoomScaleNormal="100" workbookViewId="0">
      <selection activeCell="H24" sqref="H24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13</v>
      </c>
      <c r="B3" s="15">
        <v>447.95349670860969</v>
      </c>
      <c r="C3" s="15">
        <v>307.84757144334515</v>
      </c>
      <c r="D3" s="11"/>
      <c r="E3" s="12"/>
      <c r="F3" s="12"/>
      <c r="G3" s="12"/>
    </row>
    <row r="4" ht="13.95" customHeight="1">
      <c r="A4" s="11" t="s">
        <v>14</v>
      </c>
      <c r="B4" s="15">
        <v>80.693826669345142</v>
      </c>
      <c r="C4" s="15">
        <v>65.961119381595338</v>
      </c>
      <c r="D4" s="11"/>
      <c r="E4" s="12"/>
      <c r="F4" s="12"/>
      <c r="G4" s="12"/>
    </row>
    <row r="5" ht="13.95" customHeight="1">
      <c r="A5" s="11" t="s">
        <v>15</v>
      </c>
      <c r="B5" s="15">
        <v>19.109804875758286</v>
      </c>
      <c r="C5" s="15">
        <v>6.8648938686603822</v>
      </c>
      <c r="D5" s="11"/>
      <c r="E5" s="12"/>
      <c r="F5" s="12"/>
      <c r="G5" s="12"/>
    </row>
    <row r="6" ht="13.95" customHeight="1">
      <c r="A6" s="11" t="s">
        <v>16</v>
      </c>
      <c r="B6" s="15">
        <v>1073.8609446424298</v>
      </c>
      <c r="C6" s="15">
        <v>386.54903094734527</v>
      </c>
      <c r="D6" s="11"/>
      <c r="E6" s="12"/>
      <c r="F6" s="12"/>
      <c r="G6" s="12"/>
    </row>
    <row r="7" ht="13.95" customHeight="1">
      <c r="A7" s="16" t="s">
        <v>17</v>
      </c>
      <c r="B7" s="19">
        <v>0</v>
      </c>
      <c r="C7" s="19">
        <v>266.30541701463</v>
      </c>
      <c r="D7" s="16"/>
      <c r="E7" s="12"/>
      <c r="F7" s="12"/>
      <c r="G7" s="12"/>
    </row>
    <row r="8" ht="13.95" customHeight="1">
      <c r="A8" s="11"/>
      <c r="B8" s="98">
        <v>1540.9242462267978</v>
      </c>
      <c r="C8" s="102">
        <v>434.9560792447208</v>
      </c>
      <c r="D8" s="17"/>
      <c r="E8" s="12"/>
      <c r="F8" s="12"/>
      <c r="G8" s="12"/>
    </row>
    <row r="9" ht="13.95" customHeight="1">
      <c r="A9" s="11" t="s">
        <v>19</v>
      </c>
      <c r="B9" s="97">
        <v>1105.968166982077</v>
      </c>
      <c r="C9" s="97">
        <v>22.625497059353325</v>
      </c>
      <c r="D9" s="11"/>
      <c r="E9" s="12"/>
      <c r="F9" s="12"/>
      <c r="G9" s="12"/>
    </row>
    <row r="10" ht="13.95" customHeight="1">
      <c r="A10" s="11" t="s">
        <v>20</v>
      </c>
      <c r="B10" s="100">
        <v>20.526464140861602</v>
      </c>
      <c r="C10" s="100">
        <v>886.47032239525822</v>
      </c>
      <c r="D10" s="11"/>
      <c r="E10" s="12"/>
      <c r="F10" s="12"/>
      <c r="G10" s="12"/>
    </row>
    <row r="11" ht="13.95" customHeight="1">
      <c r="A11" s="11" t="s">
        <v>21</v>
      </c>
      <c r="B11" s="100">
        <v>112.25669273407024</v>
      </c>
      <c r="C11" s="100">
        <v>1216.7163031443129</v>
      </c>
      <c r="D11" s="11"/>
      <c r="E11" s="12"/>
      <c r="F11" s="12"/>
      <c r="G11" s="12"/>
    </row>
    <row r="12" ht="13.95" customHeight="1">
      <c r="A12" s="11" t="s">
        <v>22</v>
      </c>
      <c r="B12" s="100">
        <v>9.9691040483201032</v>
      </c>
      <c r="C12" s="100"/>
      <c r="D12" s="11"/>
      <c r="E12" s="12"/>
      <c r="F12" s="12"/>
      <c r="G12" s="12"/>
    </row>
    <row r="13" ht="13.95" customHeight="1">
      <c r="A13" s="11" t="s">
        <v>23</v>
      </c>
      <c r="B13" s="100">
        <v>614.13501182189066</v>
      </c>
      <c r="C13" s="100"/>
      <c r="D13" s="11"/>
      <c r="E13" s="12"/>
      <c r="F13" s="12"/>
      <c r="G13" s="12"/>
    </row>
    <row r="14" ht="13.95" customHeight="1">
      <c r="A14" s="16" t="s">
        <v>24</v>
      </c>
      <c r="B14" s="101">
        <v>266.30541701463</v>
      </c>
      <c r="C14" s="101"/>
      <c r="D14" s="16"/>
      <c r="E14" s="12"/>
      <c r="F14" s="12"/>
      <c r="G14" s="12"/>
    </row>
    <row r="15">
      <c r="A15" s="12"/>
      <c r="B15" s="12">
        <v>615.38631125156439</v>
      </c>
      <c r="C15" s="12"/>
      <c r="D15" s="12"/>
      <c r="E15" s="12"/>
      <c r="F15" s="12"/>
      <c r="G15" s="12"/>
    </row>
    <row r="16">
      <c r="A16" s="12"/>
      <c r="B16" s="12"/>
      <c r="C16" s="12"/>
      <c r="D16" s="12"/>
      <c r="E16" s="12"/>
      <c r="F16" s="12"/>
      <c r="G16" s="12"/>
    </row>
    <row r="17">
      <c r="A17" s="12"/>
      <c r="B17" s="12"/>
      <c r="C17" s="12"/>
      <c r="D17" s="12"/>
      <c r="E17" s="12"/>
      <c r="F17" s="12"/>
      <c r="G17" s="12"/>
    </row>
    <row r="18">
      <c r="A18" s="12"/>
      <c r="B18" s="12"/>
      <c r="C18" s="12"/>
      <c r="D18" s="12"/>
      <c r="E18" s="12"/>
      <c r="F18" s="12"/>
      <c r="G18" s="12"/>
    </row>
    <row r="19">
      <c r="A19" s="12"/>
      <c r="B19" s="12"/>
      <c r="C19" s="12"/>
      <c r="D19" s="12"/>
      <c r="E19" s="12"/>
      <c r="F19" s="12"/>
      <c r="G19" s="12"/>
    </row>
    <row r="20">
      <c r="A20" s="12"/>
      <c r="B20" s="12"/>
      <c r="C20" s="12"/>
      <c r="D20" s="12"/>
      <c r="E20" s="12"/>
      <c r="F20" s="12"/>
      <c r="G20" s="12"/>
    </row>
    <row r="21">
      <c r="A21" s="12"/>
      <c r="B21" s="12"/>
      <c r="C21" s="12"/>
      <c r="D21" s="12"/>
      <c r="E21" s="12"/>
      <c r="F21" s="12"/>
      <c r="G21" s="12"/>
    </row>
    <row r="22">
      <c r="A22" s="12"/>
      <c r="B22" s="12"/>
      <c r="C22" s="12"/>
      <c r="D22" s="12"/>
      <c r="E22" s="12"/>
      <c r="F22" s="12"/>
      <c r="G22" s="12"/>
    </row>
    <row r="23">
      <c r="A23" s="12"/>
      <c r="B23" s="12"/>
      <c r="C23" s="12"/>
      <c r="D23" s="12"/>
      <c r="E23" s="12"/>
      <c r="F23" s="12"/>
      <c r="G23" s="12"/>
    </row>
    <row r="24">
      <c r="A24" s="12"/>
      <c r="B24" s="12"/>
      <c r="C24" s="12"/>
      <c r="D24" s="12"/>
      <c r="E24" s="12"/>
      <c r="F24" s="12"/>
      <c r="G24" s="12"/>
    </row>
    <row r="25">
      <c r="A25" s="12"/>
      <c r="B25" s="12"/>
      <c r="C25" s="12"/>
      <c r="D25" s="12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</sheetData>
  <mergeCells>
    <mergeCell ref="B13:C13"/>
    <mergeCell ref="B14:C14"/>
    <mergeCell ref="B8:C8"/>
    <mergeCell ref="B9:C9"/>
    <mergeCell ref="B10:C10"/>
    <mergeCell ref="B11:C11"/>
    <mergeCell ref="B12:C12"/>
  </mergeCells>
  <pageMargins left="0.7" right="0.7" top="0.75" bottom="0.75" header="0.3" footer="0.3"/>
  <pageSetup paperSize="9" orientation="portrait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-0.52537514563469889</v>
      </c>
      <c r="D3" s="11"/>
      <c r="E3" s="12"/>
      <c r="F3" s="12"/>
      <c r="G3" s="12"/>
    </row>
    <row r="4" ht="13.95" customHeight="1">
      <c r="A4" s="11" t="s">
        <v>3</v>
      </c>
      <c r="B4" s="15">
        <v>29380.076796322675</v>
      </c>
      <c r="C4" s="15">
        <v>29437.389891378294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0.19507469450452675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0.18910321066820668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0.18714013891147907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0.18490637639629881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0.16217451572733133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0.20801482108248059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0.98519733993129854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-0.058910497103004111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289.70187971895109</v>
      </c>
      <c r="C14" s="15">
        <v>290.555021840932</v>
      </c>
      <c r="D14" s="11"/>
      <c r="E14" s="12"/>
      <c r="F14" s="12"/>
      <c r="G14" s="12"/>
    </row>
    <row r="15" ht="13.95" customHeight="1">
      <c r="A15" s="11" t="s">
        <v>14</v>
      </c>
      <c r="B15" s="15">
        <v>283.49605643459381</v>
      </c>
      <c r="C15" s="15">
        <v>284.29026067912991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3.2451381810852253</v>
      </c>
      <c r="C17" s="15">
        <v>3.2432617169405336</v>
      </c>
      <c r="D17" s="11"/>
      <c r="E17" s="12"/>
      <c r="F17" s="12"/>
      <c r="G17" s="12"/>
    </row>
    <row r="18" ht="13.95" customHeight="1">
      <c r="A18" s="16" t="s">
        <v>17</v>
      </c>
      <c r="B18" s="19">
        <v>292.94701790003631</v>
      </c>
      <c r="C18" s="19">
        <v>293.79828355787259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219.96211462720206</v>
      </c>
      <c r="D19" s="17"/>
      <c r="E19" s="12"/>
      <c r="F19" s="12"/>
      <c r="G19" s="12"/>
    </row>
    <row r="20" ht="13.95" customHeight="1">
      <c r="A20" s="11" t="s">
        <v>19</v>
      </c>
      <c r="B20" s="97">
        <v>-0.85126565783627939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-0.55397221640576588</v>
      </c>
      <c r="C21" s="100">
        <v>3.4355846214899088</v>
      </c>
      <c r="D21" s="11"/>
      <c r="E21" s="12"/>
      <c r="F21" s="12"/>
      <c r="G21" s="12"/>
    </row>
    <row r="22" ht="13.95" customHeight="1">
      <c r="A22" s="11" t="s">
        <v>21</v>
      </c>
      <c r="B22" s="100">
        <v>-0.059437520836897517</v>
      </c>
      <c r="C22" s="100">
        <v>226.61281109171827</v>
      </c>
      <c r="D22" s="11"/>
      <c r="E22" s="12"/>
      <c r="F22" s="12"/>
      <c r="G22" s="12"/>
    </row>
    <row r="23" ht="13.95" customHeight="1">
      <c r="A23" s="11" t="s">
        <v>22</v>
      </c>
      <c r="B23" s="100">
        <v>-0.27000195935647914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0.032146038762864315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-0.645831719609391</v>
      </c>
      <c r="D3" s="11"/>
      <c r="E3" s="12"/>
      <c r="F3" s="12"/>
      <c r="G3" s="12"/>
    </row>
    <row r="4" ht="13.95" customHeight="1">
      <c r="A4" s="11" t="s">
        <v>3</v>
      </c>
      <c r="B4" s="15">
        <v>66866.59385191965</v>
      </c>
      <c r="C4" s="15">
        <v>66978.246233099548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0.16697782068453293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0.16063044555789663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0.15854858196131527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0.1565250410665131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0.13315204467065911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0.18038065734313769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1.5750031998450487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-0.032387067072559006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117.32337325430467</v>
      </c>
      <c r="C14" s="15">
        <v>117.68969484619927</v>
      </c>
      <c r="D14" s="11"/>
      <c r="E14" s="12"/>
      <c r="F14" s="12"/>
      <c r="G14" s="12"/>
    </row>
    <row r="15" ht="13.95" customHeight="1">
      <c r="A15" s="11" t="s">
        <v>14</v>
      </c>
      <c r="B15" s="15">
        <v>109.33751501040779</v>
      </c>
      <c r="C15" s="15">
        <v>109.58298954109918</v>
      </c>
      <c r="D15" s="11"/>
      <c r="E15" s="12"/>
      <c r="F15" s="12"/>
      <c r="G15" s="12"/>
    </row>
    <row r="16" ht="13.95" customHeight="1">
      <c r="A16" s="11" t="s">
        <v>15</v>
      </c>
      <c r="B16" s="15">
        <v>11.482617640451219</v>
      </c>
      <c r="C16" s="15">
        <v>11.501062220328784</v>
      </c>
      <c r="D16" s="11"/>
      <c r="E16" s="12"/>
      <c r="F16" s="12"/>
      <c r="G16" s="12"/>
    </row>
    <row r="17" ht="13.95" customHeight="1">
      <c r="A17" s="11" t="s">
        <v>16</v>
      </c>
      <c r="B17" s="15">
        <v>-0.59458085806370808</v>
      </c>
      <c r="C17" s="15">
        <v>-0.59755214713788518</v>
      </c>
      <c r="D17" s="11"/>
      <c r="E17" s="12"/>
      <c r="F17" s="12"/>
      <c r="G17" s="12"/>
    </row>
    <row r="18" ht="13.95" customHeight="1">
      <c r="A18" s="16" t="s">
        <v>17</v>
      </c>
      <c r="B18" s="19">
        <v>128.2114100366922</v>
      </c>
      <c r="C18" s="19">
        <v>128.59320491939016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90.267980880263693</v>
      </c>
      <c r="D19" s="17"/>
      <c r="E19" s="12"/>
      <c r="F19" s="12"/>
      <c r="G19" s="12"/>
    </row>
    <row r="20" ht="13.95" customHeight="1">
      <c r="A20" s="11" t="s">
        <v>19</v>
      </c>
      <c r="B20" s="97">
        <v>-0.38179488269796025</v>
      </c>
      <c r="C20" s="97">
        <v>12.747900210006742</v>
      </c>
      <c r="D20" s="11"/>
      <c r="E20" s="12"/>
      <c r="F20" s="12"/>
      <c r="G20" s="12"/>
    </row>
    <row r="21" ht="13.95" customHeight="1">
      <c r="A21" s="11" t="s">
        <v>20</v>
      </c>
      <c r="B21" s="100">
        <v>-0.2059465591979876</v>
      </c>
      <c r="C21" s="100">
        <v>9.3099248695575962</v>
      </c>
      <c r="D21" s="11"/>
      <c r="E21" s="12"/>
      <c r="F21" s="12"/>
      <c r="G21" s="12"/>
    </row>
    <row r="22" ht="13.95" customHeight="1">
      <c r="A22" s="11" t="s">
        <v>21</v>
      </c>
      <c r="B22" s="100">
        <v>-0.12127618592760546</v>
      </c>
      <c r="C22" s="100">
        <v>120.58844223924891</v>
      </c>
      <c r="D22" s="11"/>
      <c r="E22" s="12"/>
      <c r="F22" s="12"/>
      <c r="G22" s="12"/>
    </row>
    <row r="23" ht="13.95" customHeight="1">
      <c r="A23" s="11" t="s">
        <v>22</v>
      </c>
      <c r="B23" s="100">
        <v>-0.0743339404202421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0.019761802847878526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-0.50304859069137953</v>
      </c>
      <c r="D3" s="11"/>
      <c r="E3" s="12"/>
      <c r="F3" s="12"/>
      <c r="G3" s="12"/>
    </row>
    <row r="4" ht="13.95" customHeight="1">
      <c r="A4" s="11" t="s">
        <v>3</v>
      </c>
      <c r="B4" s="15">
        <v>14771.881013081731</v>
      </c>
      <c r="C4" s="15">
        <v>14808.021077877975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0.24465445371675276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0.23582169611675585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0.234829555561622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0.23286156291895122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0.22199216875760097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0.30191469289109207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-0.1494382617963419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0.13384436953627343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256.16799472865671</v>
      </c>
      <c r="C14" s="15">
        <v>256.81246218965123</v>
      </c>
      <c r="D14" s="11"/>
      <c r="E14" s="12"/>
      <c r="F14" s="12"/>
      <c r="G14" s="12"/>
    </row>
    <row r="15" ht="13.95" customHeight="1">
      <c r="A15" s="11" t="s">
        <v>14</v>
      </c>
      <c r="B15" s="15">
        <v>188.24735761994054</v>
      </c>
      <c r="C15" s="15">
        <v>188.99355908738716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3.576128308348959</v>
      </c>
      <c r="C17" s="15">
        <v>3.5802274309826867</v>
      </c>
      <c r="D17" s="11"/>
      <c r="E17" s="12"/>
      <c r="F17" s="12"/>
      <c r="G17" s="12"/>
    </row>
    <row r="18" ht="13.95" customHeight="1">
      <c r="A18" s="16" t="s">
        <v>17</v>
      </c>
      <c r="B18" s="19">
        <v>259.74412303700564</v>
      </c>
      <c r="C18" s="19">
        <v>260.39268962063392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154.59176199600523</v>
      </c>
      <c r="D19" s="17"/>
      <c r="E19" s="12"/>
      <c r="F19" s="12"/>
      <c r="G19" s="12"/>
    </row>
    <row r="20" ht="13.95" customHeight="1">
      <c r="A20" s="11" t="s">
        <v>19</v>
      </c>
      <c r="B20" s="97">
        <v>-0.64856658362828057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-0.61253299650948134</v>
      </c>
      <c r="C21" s="100">
        <v>4.1728328117594344</v>
      </c>
      <c r="D21" s="11"/>
      <c r="E21" s="12"/>
      <c r="F21" s="12"/>
      <c r="G21" s="12"/>
    </row>
    <row r="22" ht="13.95" customHeight="1">
      <c r="A22" s="11" t="s">
        <v>21</v>
      </c>
      <c r="B22" s="100">
        <v>0.16689257316921036</v>
      </c>
      <c r="C22" s="100">
        <v>172.16102771741632</v>
      </c>
      <c r="D22" s="11"/>
      <c r="E22" s="12"/>
      <c r="F22" s="12"/>
      <c r="G22" s="12"/>
    </row>
    <row r="23" ht="13.95" customHeight="1">
      <c r="A23" s="11" t="s">
        <v>22</v>
      </c>
      <c r="B23" s="100">
        <v>-0.30784572833915191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0.10491956805114677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-0.38262818752362593</v>
      </c>
      <c r="D3" s="11"/>
      <c r="E3" s="12"/>
      <c r="F3" s="12"/>
      <c r="G3" s="12"/>
    </row>
    <row r="4" ht="13.95" customHeight="1">
      <c r="A4" s="11" t="s">
        <v>3</v>
      </c>
      <c r="B4" s="15">
        <v>10942.692268684592</v>
      </c>
      <c r="C4" s="15">
        <v>10823.002527049859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-1.0937869648153908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-1.1116999758253643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-1.1127779869339771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-1.1144080456208738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-1.1215433619100268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-1.0360118830479381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-1.1906309563307405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-1.2411967004157476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1163.4500149382388</v>
      </c>
      <c r="C14" s="15">
        <v>1150.6466593040104</v>
      </c>
      <c r="D14" s="11"/>
      <c r="E14" s="12"/>
      <c r="F14" s="12"/>
      <c r="G14" s="12"/>
    </row>
    <row r="15" ht="13.95" customHeight="1">
      <c r="A15" s="11" t="s">
        <v>14</v>
      </c>
      <c r="B15" s="15">
        <v>1162.8892232899029</v>
      </c>
      <c r="C15" s="15">
        <v>1150.0916079664769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22.742094134154129</v>
      </c>
      <c r="C17" s="15">
        <v>22.464257906050129</v>
      </c>
      <c r="D17" s="11"/>
      <c r="E17" s="12"/>
      <c r="F17" s="12"/>
      <c r="G17" s="12"/>
    </row>
    <row r="18" ht="13.95" customHeight="1">
      <c r="A18" s="16" t="s">
        <v>17</v>
      </c>
      <c r="B18" s="19">
        <v>1186.1921090723931</v>
      </c>
      <c r="C18" s="19">
        <v>1173.1109172100605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860.32450347942427</v>
      </c>
      <c r="D19" s="17"/>
      <c r="E19" s="12"/>
      <c r="F19" s="12"/>
      <c r="G19" s="12"/>
    </row>
    <row r="20" ht="13.95" customHeight="1">
      <c r="A20" s="11" t="s">
        <v>19</v>
      </c>
      <c r="B20" s="97">
        <v>13.081191862332616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13.186897389800178</v>
      </c>
      <c r="C21" s="100">
        <v>21.276534273861216</v>
      </c>
      <c r="D21" s="11"/>
      <c r="E21" s="12"/>
      <c r="F21" s="12"/>
      <c r="G21" s="12"/>
    </row>
    <row r="22" ht="13.95" customHeight="1">
      <c r="A22" s="11" t="s">
        <v>21</v>
      </c>
      <c r="B22" s="100">
        <v>-0.0012136970037909479</v>
      </c>
      <c r="C22" s="100">
        <v>882.13801865220114</v>
      </c>
      <c r="D22" s="11"/>
      <c r="E22" s="12"/>
      <c r="F22" s="12"/>
      <c r="G22" s="12"/>
    </row>
    <row r="23" ht="13.95" customHeight="1">
      <c r="A23" s="11" t="s">
        <v>22</v>
      </c>
      <c r="B23" s="100">
        <v>-0.16171574257482563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0.057223912110891284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-0.070886341469855729</v>
      </c>
      <c r="D3" s="11"/>
      <c r="E3" s="12"/>
      <c r="F3" s="12"/>
      <c r="G3" s="12"/>
    </row>
    <row r="4" ht="13.95" customHeight="1">
      <c r="A4" s="11" t="s">
        <v>3</v>
      </c>
      <c r="B4" s="15">
        <v>106.46980860858923</v>
      </c>
      <c r="C4" s="15">
        <v>106.21072571917867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-0.24333930228335188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-0.32527472002865654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-0.32226122892733411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-0.3258931114231034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-0.28173013840426808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-0.06443881368761728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-0.38741352441142851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-0.34689830916612152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150.48195288303364</v>
      </c>
      <c r="C14" s="15">
        <v>149.97956527673964</v>
      </c>
      <c r="D14" s="11"/>
      <c r="E14" s="12"/>
      <c r="F14" s="12"/>
      <c r="G14" s="12"/>
    </row>
    <row r="15" ht="13.95" customHeight="1">
      <c r="A15" s="11" t="s">
        <v>14</v>
      </c>
      <c r="B15" s="15">
        <v>147.67334123794325</v>
      </c>
      <c r="C15" s="15">
        <v>147.18183543580213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1.5209698568918149</v>
      </c>
      <c r="C17" s="15">
        <v>1.5158980220659144</v>
      </c>
      <c r="D17" s="11"/>
      <c r="E17" s="12"/>
      <c r="F17" s="12"/>
      <c r="G17" s="12"/>
    </row>
    <row r="18" ht="13.95" customHeight="1">
      <c r="A18" s="16" t="s">
        <v>17</v>
      </c>
      <c r="B18" s="19">
        <v>152.00292273992548</v>
      </c>
      <c r="C18" s="19">
        <v>151.49546329880556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127.20796562692284</v>
      </c>
      <c r="D19" s="17"/>
      <c r="E19" s="12"/>
      <c r="F19" s="12"/>
      <c r="G19" s="12"/>
    </row>
    <row r="20" ht="13.95" customHeight="1">
      <c r="A20" s="11" t="s">
        <v>19</v>
      </c>
      <c r="B20" s="97">
        <v>0.50745944111992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0.49442708137767533</v>
      </c>
      <c r="C21" s="100">
        <v>1.3177297269855615</v>
      </c>
      <c r="D21" s="11"/>
      <c r="E21" s="12"/>
      <c r="F21" s="12"/>
      <c r="G21" s="12"/>
    </row>
    <row r="22" ht="13.95" customHeight="1">
      <c r="A22" s="11" t="s">
        <v>21</v>
      </c>
      <c r="B22" s="100">
        <v>0.0010797763151016095</v>
      </c>
      <c r="C22" s="100">
        <v>131.2836479035094</v>
      </c>
      <c r="D22" s="11"/>
      <c r="E22" s="12"/>
      <c r="F22" s="12"/>
      <c r="G22" s="12"/>
    </row>
    <row r="23" ht="13.95" customHeight="1">
      <c r="A23" s="11" t="s">
        <v>22</v>
      </c>
      <c r="B23" s="100">
        <v>0.010248555638321775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0.0017040277888318665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-0.25527747725317962</v>
      </c>
      <c r="D3" s="11"/>
      <c r="E3" s="12"/>
      <c r="F3" s="12"/>
      <c r="G3" s="12"/>
    </row>
    <row r="4" ht="13.95" customHeight="1">
      <c r="A4" s="11" t="s">
        <v>3</v>
      </c>
      <c r="B4" s="15">
        <v>1290.6219650193443</v>
      </c>
      <c r="C4" s="15">
        <v>1302.8867053336262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0.95029688372754162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0.87399165949557656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0.87560240110744481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0.87148159369483391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0.89117983177207094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1.0454465139322133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0.8585354766203368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0.755771991581855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841.05905971543427</v>
      </c>
      <c r="C14" s="15">
        <v>848.35906177086019</v>
      </c>
      <c r="D14" s="11"/>
      <c r="E14" s="12"/>
      <c r="F14" s="12"/>
      <c r="G14" s="12"/>
    </row>
    <row r="15" ht="13.95" customHeight="1">
      <c r="A15" s="11" t="s">
        <v>14</v>
      </c>
      <c r="B15" s="15">
        <v>841.004259318318</v>
      </c>
      <c r="C15" s="15">
        <v>848.30379058593337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13.335458239675074</v>
      </c>
      <c r="C17" s="15">
        <v>13.451188859851838</v>
      </c>
      <c r="D17" s="11"/>
      <c r="E17" s="12"/>
      <c r="F17" s="12"/>
      <c r="G17" s="12"/>
    </row>
    <row r="18" ht="13.95" customHeight="1">
      <c r="A18" s="16" t="s">
        <v>17</v>
      </c>
      <c r="B18" s="19">
        <v>854.39451795510934</v>
      </c>
      <c r="C18" s="19">
        <v>861.81025063071206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610.02715025014766</v>
      </c>
      <c r="D19" s="17"/>
      <c r="E19" s="12"/>
      <c r="F19" s="12"/>
      <c r="G19" s="12"/>
    </row>
    <row r="20" ht="13.95" customHeight="1">
      <c r="A20" s="11" t="s">
        <v>19</v>
      </c>
      <c r="B20" s="97">
        <v>-7.415732675602726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-7.4673368261151394</v>
      </c>
      <c r="C21" s="100">
        <v>9.9049827424591967</v>
      </c>
      <c r="D21" s="11"/>
      <c r="E21" s="12"/>
      <c r="F21" s="12"/>
      <c r="G21" s="12"/>
    </row>
    <row r="22" ht="13.95" customHeight="1">
      <c r="A22" s="11" t="s">
        <v>21</v>
      </c>
      <c r="B22" s="100">
        <v>-5.5307949643239341E-05</v>
      </c>
      <c r="C22" s="100">
        <v>619.98854299454774</v>
      </c>
      <c r="D22" s="11"/>
      <c r="E22" s="12"/>
      <c r="F22" s="12"/>
      <c r="G22" s="12"/>
    </row>
    <row r="23" ht="13.95" customHeight="1">
      <c r="A23" s="11" t="s">
        <v>22</v>
      </c>
      <c r="B23" s="100">
        <v>0.029666054533305085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0.021993403928694227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-0.47866478924325495</v>
      </c>
      <c r="D3" s="11"/>
      <c r="E3" s="12"/>
      <c r="F3" s="12"/>
      <c r="G3" s="12"/>
    </row>
    <row r="4" ht="13.95" customHeight="1">
      <c r="A4" s="11" t="s">
        <v>3</v>
      </c>
      <c r="B4" s="15">
        <v>28350.089487049398</v>
      </c>
      <c r="C4" s="15">
        <v>28631.380780119656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0.99220601472440606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0.98749912344742174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0.98628401881371008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0.984118672537293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0.978708576408005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1.0690366233605753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0.93009936162622431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0.88257793816441943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445.0811634550019</v>
      </c>
      <c r="C14" s="15">
        <v>449.2740447850997</v>
      </c>
      <c r="D14" s="11"/>
      <c r="E14" s="12"/>
      <c r="F14" s="12"/>
      <c r="G14" s="12"/>
    </row>
    <row r="15" ht="13.95" customHeight="1">
      <c r="A15" s="11" t="s">
        <v>14</v>
      </c>
      <c r="B15" s="15">
        <v>429.27228071249965</v>
      </c>
      <c r="C15" s="15">
        <v>433.35031078022939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7.52173638399518</v>
      </c>
      <c r="C17" s="15">
        <v>7.58539686226465</v>
      </c>
      <c r="D17" s="11"/>
      <c r="E17" s="12"/>
      <c r="F17" s="12"/>
      <c r="G17" s="12"/>
    </row>
    <row r="18" ht="13.95" customHeight="1">
      <c r="A18" s="16" t="s">
        <v>17</v>
      </c>
      <c r="B18" s="19">
        <v>452.60289983899713</v>
      </c>
      <c r="C18" s="19">
        <v>456.85944164736435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209.97948915133796</v>
      </c>
      <c r="D19" s="17"/>
      <c r="E19" s="12"/>
      <c r="F19" s="12"/>
      <c r="G19" s="12"/>
    </row>
    <row r="20" ht="13.95" customHeight="1">
      <c r="A20" s="11" t="s">
        <v>19</v>
      </c>
      <c r="B20" s="97">
        <v>-4.2565418083672171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-4.4694496686077265</v>
      </c>
      <c r="C21" s="100">
        <v>5.4443454158204929</v>
      </c>
      <c r="D21" s="11"/>
      <c r="E21" s="12"/>
      <c r="F21" s="12"/>
      <c r="G21" s="12"/>
    </row>
    <row r="22" ht="13.95" customHeight="1">
      <c r="A22" s="11" t="s">
        <v>21</v>
      </c>
      <c r="B22" s="100">
        <v>0.025180525936165696</v>
      </c>
      <c r="C22" s="100">
        <v>224.25640986225929</v>
      </c>
      <c r="D22" s="11"/>
      <c r="E22" s="12"/>
      <c r="F22" s="12"/>
      <c r="G22" s="12"/>
    </row>
    <row r="23" ht="13.95" customHeight="1">
      <c r="A23" s="11" t="s">
        <v>22</v>
      </c>
      <c r="B23" s="100">
        <v>0.14651860278870368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0.041208731515628289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-0.21364429840637911</v>
      </c>
      <c r="D3" s="11"/>
      <c r="E3" s="12"/>
      <c r="F3" s="12"/>
      <c r="G3" s="12"/>
    </row>
    <row r="4" ht="13.95" customHeight="1">
      <c r="A4" s="11" t="s">
        <v>3</v>
      </c>
      <c r="B4" s="15">
        <v>8531.3890302835625</v>
      </c>
      <c r="C4" s="15">
        <v>8541.9462007166749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0.12374503607368581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0.12439609303251942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0.12125718082611758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0.12374293238106571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0.10538479476902563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0.1623372515189736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4.0625709116448361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-0.02922790116107743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9.6126265304465512</v>
      </c>
      <c r="C14" s="15">
        <v>9.6343330909076439</v>
      </c>
      <c r="D14" s="11"/>
      <c r="E14" s="12"/>
      <c r="F14" s="12"/>
      <c r="G14" s="12"/>
    </row>
    <row r="15" ht="13.95" customHeight="1">
      <c r="A15" s="11" t="s">
        <v>14</v>
      </c>
      <c r="B15" s="15">
        <v>9.51610943423503</v>
      </c>
      <c r="C15" s="15">
        <v>9.53392346924181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-0.52182832190025052</v>
      </c>
      <c r="C17" s="15">
        <v>-0.52248368119845989</v>
      </c>
      <c r="D17" s="11"/>
      <c r="E17" s="12"/>
      <c r="F17" s="12"/>
      <c r="G17" s="12"/>
    </row>
    <row r="18" ht="13.95" customHeight="1">
      <c r="A18" s="16" t="s">
        <v>17</v>
      </c>
      <c r="B18" s="19">
        <v>9.0907982085463</v>
      </c>
      <c r="C18" s="19">
        <v>9.1118494097091851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6.9169626260018671</v>
      </c>
      <c r="D19" s="17"/>
      <c r="E19" s="12"/>
      <c r="F19" s="12"/>
      <c r="G19" s="12"/>
    </row>
    <row r="20" ht="13.95" customHeight="1">
      <c r="A20" s="11" t="s">
        <v>19</v>
      </c>
      <c r="B20" s="97">
        <v>-0.021051201162885391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-0.011308597796902707</v>
      </c>
      <c r="C21" s="100">
        <v>1.8165488542596044</v>
      </c>
      <c r="D21" s="11"/>
      <c r="E21" s="12"/>
      <c r="F21" s="12"/>
      <c r="G21" s="12"/>
    </row>
    <row r="22" ht="13.95" customHeight="1">
      <c r="A22" s="11" t="s">
        <v>21</v>
      </c>
      <c r="B22" s="100">
        <v>-0.0039188590950336912</v>
      </c>
      <c r="C22" s="100">
        <v>8.96285717183821</v>
      </c>
      <c r="D22" s="11"/>
      <c r="E22" s="12"/>
      <c r="F22" s="12"/>
      <c r="G22" s="12"/>
    </row>
    <row r="23" ht="13.95" customHeight="1">
      <c r="A23" s="11" t="s">
        <v>22</v>
      </c>
      <c r="B23" s="100">
        <v>-0.0060385221442652865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0.00021477787331587381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0.025476193760742838</v>
      </c>
      <c r="D3" s="11"/>
      <c r="E3" s="12"/>
      <c r="F3" s="12"/>
      <c r="G3" s="12"/>
    </row>
    <row r="4" ht="13.95" customHeight="1">
      <c r="A4" s="11" t="s">
        <v>3</v>
      </c>
      <c r="B4" s="15">
        <v>27392.407559265805</v>
      </c>
      <c r="C4" s="15">
        <v>27371.196558092273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-0.077433869686849288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-0.068962774020675521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-0.0745996746572164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-0.067582829535162148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-0.087257156423625748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-0.034603228630014637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2.2551806661059937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-0.26183938764705594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58.720697346976792</v>
      </c>
      <c r="C14" s="15">
        <v>58.799045614924736</v>
      </c>
      <c r="D14" s="11"/>
      <c r="E14" s="12"/>
      <c r="F14" s="12"/>
      <c r="G14" s="12"/>
    </row>
    <row r="15" ht="13.95" customHeight="1">
      <c r="A15" s="11" t="s">
        <v>14</v>
      </c>
      <c r="B15" s="15">
        <v>54.751663443262437</v>
      </c>
      <c r="C15" s="15">
        <v>54.740573298803163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-0.71543290309983076</v>
      </c>
      <c r="C17" s="15">
        <v>-0.715532232899885</v>
      </c>
      <c r="D17" s="11"/>
      <c r="E17" s="12"/>
      <c r="F17" s="12"/>
      <c r="G17" s="12"/>
    </row>
    <row r="18" ht="13.95" customHeight="1">
      <c r="A18" s="16" t="s">
        <v>17</v>
      </c>
      <c r="B18" s="19">
        <v>58.005264443876968</v>
      </c>
      <c r="C18" s="19">
        <v>58.083513382024854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37.320193893830691</v>
      </c>
      <c r="D19" s="17"/>
      <c r="E19" s="12"/>
      <c r="F19" s="12"/>
      <c r="G19" s="12"/>
    </row>
    <row r="20" ht="13.95" customHeight="1">
      <c r="A20" s="11" t="s">
        <v>19</v>
      </c>
      <c r="B20" s="97">
        <v>-0.0782489381478868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0.040002039438525185</v>
      </c>
      <c r="C21" s="100">
        <v>4.8672355584167377</v>
      </c>
      <c r="D21" s="11"/>
      <c r="E21" s="12"/>
      <c r="F21" s="12"/>
      <c r="G21" s="12"/>
    </row>
    <row r="22" ht="13.95" customHeight="1">
      <c r="A22" s="11" t="s">
        <v>21</v>
      </c>
      <c r="B22" s="100">
        <v>-0.098623736234506071</v>
      </c>
      <c r="C22" s="100">
        <v>45.923240328631621</v>
      </c>
      <c r="D22" s="11"/>
      <c r="E22" s="12"/>
      <c r="F22" s="12"/>
      <c r="G22" s="12"/>
    </row>
    <row r="23" ht="13.95" customHeight="1">
      <c r="A23" s="11" t="s">
        <v>22</v>
      </c>
      <c r="B23" s="100">
        <v>-0.025912578913250731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0.0062853375613449586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-0.51275935939576467</v>
      </c>
      <c r="D3" s="11"/>
      <c r="E3" s="12"/>
      <c r="F3" s="12"/>
      <c r="G3" s="12"/>
    </row>
    <row r="4" ht="13.95" customHeight="1">
      <c r="A4" s="11" t="s">
        <v>3</v>
      </c>
      <c r="B4" s="15">
        <v>34145.798496913085</v>
      </c>
      <c r="C4" s="15">
        <v>34174.875067422516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0.085154167684953208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-0.0062175808045017433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-0.066529783331159553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-0.17513705813333447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0.087905393414566824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0.13291130137456086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-0.52588071946872983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0.41505344718733017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472.79813775158948</v>
      </c>
      <c r="C14" s="15">
        <v>471.61069497277271</v>
      </c>
      <c r="D14" s="11"/>
      <c r="E14" s="12"/>
      <c r="F14" s="12"/>
      <c r="G14" s="12"/>
    </row>
    <row r="15" ht="13.95" customHeight="1">
      <c r="A15" s="11" t="s">
        <v>14</v>
      </c>
      <c r="B15" s="15">
        <v>365.29737967727141</v>
      </c>
      <c r="C15" s="15">
        <v>364.66889359949903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5.5504566470974988</v>
      </c>
      <c r="C17" s="15">
        <v>5.5252527287378852</v>
      </c>
      <c r="D17" s="11"/>
      <c r="E17" s="12"/>
      <c r="F17" s="12"/>
      <c r="G17" s="12"/>
    </row>
    <row r="18" ht="13.95" customHeight="1">
      <c r="A18" s="16" t="s">
        <v>17</v>
      </c>
      <c r="B18" s="19">
        <v>478.34859439868694</v>
      </c>
      <c r="C18" s="19">
        <v>477.13594770151059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245.85412050878585</v>
      </c>
      <c r="D19" s="17"/>
      <c r="E19" s="12"/>
      <c r="F19" s="12"/>
      <c r="G19" s="12"/>
    </row>
    <row r="20" ht="13.95" customHeight="1">
      <c r="A20" s="11" t="s">
        <v>19</v>
      </c>
      <c r="B20" s="97">
        <v>1.2126466971763534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0.029741710383955698</v>
      </c>
      <c r="C21" s="100">
        <v>5.63062521353703</v>
      </c>
      <c r="D21" s="11"/>
      <c r="E21" s="12"/>
      <c r="F21" s="12"/>
      <c r="G21" s="12"/>
    </row>
    <row r="22" ht="13.95" customHeight="1">
      <c r="A22" s="11" t="s">
        <v>21</v>
      </c>
      <c r="B22" s="100">
        <v>0.48221271472669003</v>
      </c>
      <c r="C22" s="100">
        <v>266.81634037226263</v>
      </c>
      <c r="D22" s="11"/>
      <c r="E22" s="12"/>
      <c r="F22" s="12"/>
      <c r="G22" s="12"/>
    </row>
    <row r="23" ht="13.95" customHeight="1">
      <c r="A23" s="11" t="s">
        <v>22</v>
      </c>
      <c r="B23" s="100">
        <v>-0.011285006432508529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0.7119772784982098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-0.419461054469783</v>
      </c>
      <c r="D3" s="11"/>
      <c r="E3" s="12"/>
      <c r="F3" s="12"/>
      <c r="G3" s="12"/>
    </row>
    <row r="4" ht="13.95" customHeight="1">
      <c r="A4" s="11" t="s">
        <v>3</v>
      </c>
      <c r="B4" s="15">
        <v>34095.191137759357</v>
      </c>
      <c r="C4" s="15">
        <v>34361.13077780787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0.77999163862729759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0.68799027556822878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0.6457367491447652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0.58385024405132047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0.812892976045787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0.86398455595755319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0.011655770752749817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1.1503514390131642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311.85852221037476</v>
      </c>
      <c r="C14" s="15">
        <v>312.94250803282677</v>
      </c>
      <c r="D14" s="11"/>
      <c r="E14" s="12"/>
      <c r="F14" s="12"/>
      <c r="G14" s="12"/>
    </row>
    <row r="15" ht="13.95" customHeight="1">
      <c r="A15" s="11" t="s">
        <v>14</v>
      </c>
      <c r="B15" s="15">
        <v>173.95440308559668</v>
      </c>
      <c r="C15" s="15">
        <v>175.01366447715341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3.986059682059262</v>
      </c>
      <c r="C17" s="15">
        <v>3.9970057589267554</v>
      </c>
      <c r="D17" s="11"/>
      <c r="E17" s="12"/>
      <c r="F17" s="12"/>
      <c r="G17" s="12"/>
    </row>
    <row r="18" ht="13.95" customHeight="1">
      <c r="A18" s="16" t="s">
        <v>17</v>
      </c>
      <c r="B18" s="19">
        <v>315.84458189243406</v>
      </c>
      <c r="C18" s="19">
        <v>316.93951379175354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113.92560880340761</v>
      </c>
      <c r="D19" s="17"/>
      <c r="E19" s="12"/>
      <c r="F19" s="12"/>
      <c r="G19" s="12"/>
    </row>
    <row r="20" ht="13.95" customHeight="1">
      <c r="A20" s="11" t="s">
        <v>19</v>
      </c>
      <c r="B20" s="97">
        <v>-1.0949318993194765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-2.1729800093291103</v>
      </c>
      <c r="C21" s="100">
        <v>4.6896763606504521</v>
      </c>
      <c r="D21" s="11"/>
      <c r="E21" s="12"/>
      <c r="F21" s="12"/>
      <c r="G21" s="12"/>
    </row>
    <row r="22" ht="13.95" customHeight="1">
      <c r="A22" s="11" t="s">
        <v>21</v>
      </c>
      <c r="B22" s="100">
        <v>0.88466129490828527</v>
      </c>
      <c r="C22" s="100">
        <v>132.10829962179557</v>
      </c>
      <c r="D22" s="11"/>
      <c r="E22" s="12"/>
      <c r="F22" s="12"/>
      <c r="G22" s="12"/>
    </row>
    <row r="23" ht="13.95" customHeight="1">
      <c r="A23" s="11" t="s">
        <v>22</v>
      </c>
      <c r="B23" s="100">
        <v>-0.043628184603430709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0.23701499970475942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-0.50368369370688</v>
      </c>
      <c r="D3" s="11"/>
      <c r="E3" s="12"/>
      <c r="F3" s="12"/>
      <c r="G3" s="12"/>
    </row>
    <row r="4" ht="13.95" customHeight="1">
      <c r="A4" s="11" t="s">
        <v>3</v>
      </c>
      <c r="B4" s="15">
        <v>54538.709823015779</v>
      </c>
      <c r="C4" s="15">
        <v>54449.527935539292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-0.1635203468616897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-0.24823972731734534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-0.30600503083788588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-0.40942217226508371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-0.15077550244902982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-0.10582880218671376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-0.29515495293479521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1.4410457504456353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656.76341831952891</v>
      </c>
      <c r="C14" s="15">
        <v>654.320089722224</v>
      </c>
      <c r="D14" s="11"/>
      <c r="E14" s="12"/>
      <c r="F14" s="12"/>
      <c r="G14" s="12"/>
    </row>
    <row r="15" ht="13.95" customHeight="1">
      <c r="A15" s="11" t="s">
        <v>14</v>
      </c>
      <c r="B15" s="15">
        <v>469.05007044187914</v>
      </c>
      <c r="C15" s="15">
        <v>467.1628669791229</v>
      </c>
      <c r="D15" s="11"/>
      <c r="E15" s="12"/>
      <c r="F15" s="12"/>
      <c r="G15" s="12"/>
    </row>
    <row r="16" ht="13.95" customHeight="1">
      <c r="A16" s="11" t="s">
        <v>15</v>
      </c>
      <c r="B16" s="15">
        <v>23.844510261968285</v>
      </c>
      <c r="C16" s="15">
        <v>23.785318714713817</v>
      </c>
      <c r="D16" s="11"/>
      <c r="E16" s="12"/>
      <c r="F16" s="12"/>
      <c r="G16" s="12"/>
    </row>
    <row r="17" ht="13.95" customHeight="1">
      <c r="A17" s="11" t="s">
        <v>16</v>
      </c>
      <c r="B17" s="15">
        <v>6.5880362449910423</v>
      </c>
      <c r="C17" s="15">
        <v>6.5438988509002005</v>
      </c>
      <c r="D17" s="11"/>
      <c r="E17" s="12"/>
      <c r="F17" s="12"/>
      <c r="G17" s="12"/>
    </row>
    <row r="18" ht="13.95" customHeight="1">
      <c r="A18" s="16" t="s">
        <v>17</v>
      </c>
      <c r="B18" s="19">
        <v>687.19596482648819</v>
      </c>
      <c r="C18" s="19">
        <v>684.649307287838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326.54443102959436</v>
      </c>
      <c r="D19" s="17"/>
      <c r="E19" s="12"/>
      <c r="F19" s="12"/>
      <c r="G19" s="12"/>
    </row>
    <row r="20" ht="13.95" customHeight="1">
      <c r="A20" s="11" t="s">
        <v>19</v>
      </c>
      <c r="B20" s="97">
        <v>2.5466575386501518</v>
      </c>
      <c r="C20" s="97">
        <v>24.792972907351178</v>
      </c>
      <c r="D20" s="11"/>
      <c r="E20" s="12"/>
      <c r="F20" s="12"/>
      <c r="G20" s="12"/>
    </row>
    <row r="21" ht="13.95" customHeight="1">
      <c r="A21" s="11" t="s">
        <v>20</v>
      </c>
      <c r="B21" s="100">
        <v>1.7058933892210981</v>
      </c>
      <c r="C21" s="100">
        <v>9.80080735487386</v>
      </c>
      <c r="D21" s="11"/>
      <c r="E21" s="12"/>
      <c r="F21" s="12"/>
      <c r="G21" s="12"/>
    </row>
    <row r="22" ht="13.95" customHeight="1">
      <c r="A22" s="11" t="s">
        <v>21</v>
      </c>
      <c r="B22" s="100">
        <v>-0.031270711896899173</v>
      </c>
      <c r="C22" s="100">
        <v>417.425894617792</v>
      </c>
      <c r="D22" s="11"/>
      <c r="E22" s="12"/>
      <c r="F22" s="12"/>
      <c r="G22" s="12"/>
    </row>
    <row r="23" ht="13.95" customHeight="1">
      <c r="A23" s="11" t="s">
        <v>22</v>
      </c>
      <c r="B23" s="100">
        <v>-0.033191524657785076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0.90522638598372784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-0.51829620147172406</v>
      </c>
      <c r="D3" s="11"/>
      <c r="E3" s="12"/>
      <c r="F3" s="12"/>
      <c r="G3" s="12"/>
    </row>
    <row r="4" ht="13.95" customHeight="1">
      <c r="A4" s="11" t="s">
        <v>3</v>
      </c>
      <c r="B4" s="15">
        <v>191827.94937691937</v>
      </c>
      <c r="C4" s="15">
        <v>193298.93361266379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0.76682477215774814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0.76317464614907848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0.76124793763188148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0.76057204692800973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0.7353397051635735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0.7800817121397019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1.4692668976768353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0.57475560989761476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552.43309030159571</v>
      </c>
      <c r="C14" s="15">
        <v>556.9243086303311</v>
      </c>
      <c r="D14" s="11"/>
      <c r="E14" s="12"/>
      <c r="F14" s="12"/>
      <c r="G14" s="12"/>
    </row>
    <row r="15" ht="13.95" customHeight="1">
      <c r="A15" s="11" t="s">
        <v>14</v>
      </c>
      <c r="B15" s="15">
        <v>528.9110975161459</v>
      </c>
      <c r="C15" s="15">
        <v>533.09256452981333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-0.68947185655998311</v>
      </c>
      <c r="C17" s="15">
        <v>-0.70839337072490327</v>
      </c>
      <c r="D17" s="11"/>
      <c r="E17" s="12"/>
      <c r="F17" s="12"/>
      <c r="G17" s="12"/>
    </row>
    <row r="18" ht="13.95" customHeight="1">
      <c r="A18" s="16" t="s">
        <v>17</v>
      </c>
      <c r="B18" s="19">
        <v>551.74361844503574</v>
      </c>
      <c r="C18" s="19">
        <v>556.21591525960616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386.18062249757611</v>
      </c>
      <c r="D19" s="17"/>
      <c r="E19" s="12"/>
      <c r="F19" s="12"/>
      <c r="G19" s="12"/>
    </row>
    <row r="20" ht="13.95" customHeight="1">
      <c r="A20" s="11" t="s">
        <v>19</v>
      </c>
      <c r="B20" s="97">
        <v>-4.4722968145704272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-4.2107674077180528</v>
      </c>
      <c r="C21" s="100">
        <v>36.994427162734553</v>
      </c>
      <c r="D21" s="11"/>
      <c r="E21" s="12"/>
      <c r="F21" s="12"/>
      <c r="G21" s="12"/>
    </row>
    <row r="22" ht="13.95" customHeight="1">
      <c r="A22" s="11" t="s">
        <v>21</v>
      </c>
      <c r="B22" s="100">
        <v>-0.16605390340165999</v>
      </c>
      <c r="C22" s="100">
        <v>441.4875643412978</v>
      </c>
      <c r="D22" s="11"/>
      <c r="E22" s="12"/>
      <c r="F22" s="12"/>
      <c r="G22" s="12"/>
    </row>
    <row r="23" ht="13.95" customHeight="1">
      <c r="A23" s="11" t="s">
        <v>22</v>
      </c>
      <c r="B23" s="100">
        <v>-0.1587170528594683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0.063241549408740827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-0.36819357232500405</v>
      </c>
      <c r="D3" s="11"/>
      <c r="E3" s="12"/>
      <c r="F3" s="12"/>
      <c r="G3" s="12"/>
    </row>
    <row r="4" ht="13.95" customHeight="1">
      <c r="A4" s="11" t="s">
        <v>3</v>
      </c>
      <c r="B4" s="15">
        <v>5988.710722165637</v>
      </c>
      <c r="C4" s="15">
        <v>6051.0293652212913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1.0406019917609033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1.0135344308846106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1.01257960906318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1.0111123410405654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1.0099671942811472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1.1139711321052737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0.96130278214239251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0.88317046155497181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987.0385854661339</v>
      </c>
      <c r="C14" s="15">
        <v>997.601259392633</v>
      </c>
      <c r="D14" s="11"/>
      <c r="E14" s="12"/>
      <c r="F14" s="12"/>
      <c r="G14" s="12"/>
    </row>
    <row r="15" ht="13.95" customHeight="1">
      <c r="A15" s="11" t="s">
        <v>14</v>
      </c>
      <c r="B15" s="15">
        <v>986.664805596633</v>
      </c>
      <c r="C15" s="15">
        <v>997.22381964887518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17.467080999901643</v>
      </c>
      <c r="C17" s="15">
        <v>17.639806526416017</v>
      </c>
      <c r="D17" s="11"/>
      <c r="E17" s="12"/>
      <c r="F17" s="12"/>
      <c r="G17" s="12"/>
    </row>
    <row r="18" ht="13.95" customHeight="1">
      <c r="A18" s="16" t="s">
        <v>17</v>
      </c>
      <c r="B18" s="19">
        <v>1004.5056664660355</v>
      </c>
      <c r="C18" s="19">
        <v>1015.241065919049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1681.0992757811034</v>
      </c>
      <c r="D19" s="17"/>
      <c r="E19" s="12"/>
      <c r="F19" s="12"/>
      <c r="G19" s="12"/>
    </row>
    <row r="20" ht="13.95" customHeight="1">
      <c r="A20" s="11" t="s">
        <v>19</v>
      </c>
      <c r="B20" s="97">
        <v>-10.735399453013542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-10.181010789820212</v>
      </c>
      <c r="C21" s="100">
        <v>31.388266578096832</v>
      </c>
      <c r="D21" s="11"/>
      <c r="E21" s="12"/>
      <c r="F21" s="12"/>
      <c r="G21" s="12"/>
    </row>
    <row r="22" ht="13.95" customHeight="1">
      <c r="A22" s="11" t="s">
        <v>21</v>
      </c>
      <c r="B22" s="100">
        <v>-0.00035330791188892366</v>
      </c>
      <c r="C22" s="100">
        <v>1713.124081849089</v>
      </c>
      <c r="D22" s="11"/>
      <c r="E22" s="12"/>
      <c r="F22" s="12"/>
      <c r="G22" s="12"/>
    </row>
    <row r="23" ht="13.95" customHeight="1">
      <c r="A23" s="11" t="s">
        <v>22</v>
      </c>
      <c r="B23" s="100">
        <v>-0.5827244381508937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0.028689082869301163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-0.26092018087937596</v>
      </c>
      <c r="D3" s="11"/>
      <c r="E3" s="12"/>
      <c r="F3" s="12"/>
      <c r="G3" s="12"/>
    </row>
    <row r="4" ht="13.95" customHeight="1">
      <c r="A4" s="11" t="s">
        <v>3</v>
      </c>
      <c r="B4" s="15">
        <v>2507.1661561679639</v>
      </c>
      <c r="C4" s="15">
        <v>2532.4517164519707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1.0085314936866485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0.921181027256468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0.92271092587412618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0.91859869323605015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0.94244743941049869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1.1074299425590573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0.90392282562101744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0.81816479492375915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1654.058186050162</v>
      </c>
      <c r="C14" s="15">
        <v>1669.1989961225131</v>
      </c>
      <c r="D14" s="11"/>
      <c r="E14" s="12"/>
      <c r="F14" s="12"/>
      <c r="G14" s="12"/>
    </row>
    <row r="15" ht="13.95" customHeight="1">
      <c r="A15" s="11" t="s">
        <v>14</v>
      </c>
      <c r="B15" s="15">
        <v>1653.9656949673838</v>
      </c>
      <c r="C15" s="15">
        <v>1669.1055474756154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19.7683402738297</v>
      </c>
      <c r="C17" s="15">
        <v>19.946187331713624</v>
      </c>
      <c r="D17" s="11"/>
      <c r="E17" s="12"/>
      <c r="F17" s="12"/>
      <c r="G17" s="12"/>
    </row>
    <row r="18" ht="13.95" customHeight="1">
      <c r="A18" s="16" t="s">
        <v>17</v>
      </c>
      <c r="B18" s="19">
        <v>1673.8265263239916</v>
      </c>
      <c r="C18" s="19">
        <v>1689.1451834542268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2892.9203177915674</v>
      </c>
      <c r="D19" s="17"/>
      <c r="E19" s="12"/>
      <c r="F19" s="12"/>
      <c r="G19" s="12"/>
    </row>
    <row r="20" ht="13.95" customHeight="1">
      <c r="A20" s="11" t="s">
        <v>19</v>
      </c>
      <c r="B20" s="97">
        <v>-15.318657130235124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-15.418972389682475</v>
      </c>
      <c r="C21" s="100">
        <v>37.529747282117135</v>
      </c>
      <c r="D21" s="11"/>
      <c r="E21" s="12"/>
      <c r="F21" s="12"/>
      <c r="G21" s="12"/>
    </row>
    <row r="22" ht="13.95" customHeight="1">
      <c r="A22" s="11" t="s">
        <v>21</v>
      </c>
      <c r="B22" s="100">
        <v>-0.0001993161389544973</v>
      </c>
      <c r="C22" s="100">
        <v>2930.598420760562</v>
      </c>
      <c r="D22" s="11"/>
      <c r="E22" s="12"/>
      <c r="F22" s="12"/>
      <c r="G22" s="12"/>
    </row>
    <row r="23" ht="13.95" customHeight="1">
      <c r="A23" s="11" t="s">
        <v>22</v>
      </c>
      <c r="B23" s="100">
        <v>0.053454752311215548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0.047059823275094378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-0.6059046112762978</v>
      </c>
      <c r="D3" s="11"/>
      <c r="E3" s="12"/>
      <c r="F3" s="12"/>
      <c r="G3" s="12"/>
    </row>
    <row r="4" ht="13.95" customHeight="1">
      <c r="A4" s="11" t="s">
        <v>3</v>
      </c>
      <c r="B4" s="15">
        <v>6884.8920759814137</v>
      </c>
      <c r="C4" s="15">
        <v>6904.80146656391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0.28917505696206547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0.28143768039965433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0.27932786601936321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0.27633835829035114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0.25287831221303403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0.29624731139641369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0.5454061923374276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-0.0027615322377938512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85.31839832652328</v>
      </c>
      <c r="C14" s="15">
        <v>85.583770544137465</v>
      </c>
      <c r="D14" s="11"/>
      <c r="E14" s="12"/>
      <c r="F14" s="12"/>
      <c r="G14" s="12"/>
    </row>
    <row r="15" ht="13.95" customHeight="1">
      <c r="A15" s="11" t="s">
        <v>14</v>
      </c>
      <c r="B15" s="15">
        <v>82.413166619512509</v>
      </c>
      <c r="C15" s="15">
        <v>82.659546225610583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1.1970658276676458</v>
      </c>
      <c r="C17" s="15">
        <v>1.197222360965466</v>
      </c>
      <c r="D17" s="11"/>
      <c r="E17" s="12"/>
      <c r="F17" s="12"/>
      <c r="G17" s="12"/>
    </row>
    <row r="18" ht="13.95" customHeight="1">
      <c r="A18" s="16" t="s">
        <v>17</v>
      </c>
      <c r="B18" s="19">
        <v>86.515464154190923</v>
      </c>
      <c r="C18" s="19">
        <v>86.78099290510292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64.919397077195612</v>
      </c>
      <c r="D19" s="17"/>
      <c r="E19" s="12"/>
      <c r="F19" s="12"/>
      <c r="G19" s="12"/>
    </row>
    <row r="20" ht="13.95" customHeight="1">
      <c r="A20" s="11" t="s">
        <v>19</v>
      </c>
      <c r="B20" s="97">
        <v>-0.26552875091199724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-0.24348711550255595</v>
      </c>
      <c r="C21" s="100">
        <v>1.2205499895725893</v>
      </c>
      <c r="D21" s="11"/>
      <c r="E21" s="12"/>
      <c r="F21" s="12"/>
      <c r="G21" s="12"/>
    </row>
    <row r="22" ht="13.95" customHeight="1">
      <c r="A22" s="11" t="s">
        <v>21</v>
      </c>
      <c r="B22" s="100">
        <v>-0.015327807777556607</v>
      </c>
      <c r="C22" s="100">
        <v>67.997883205446655</v>
      </c>
      <c r="D22" s="11"/>
      <c r="E22" s="12"/>
      <c r="F22" s="12"/>
      <c r="G22" s="12"/>
    </row>
    <row r="23" ht="13.95" customHeight="1">
      <c r="A23" s="11" t="s">
        <v>22</v>
      </c>
      <c r="B23" s="100">
        <v>-0.018640414446618694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0.011926586814742473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G71"/>
  <sheetViews>
    <sheetView zoomScaleNormal="100" workbookViewId="0">
      <selection activeCell="A13" sqref="A13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-0.18745028824996846</v>
      </c>
      <c r="D3" s="11"/>
      <c r="E3" s="12"/>
      <c r="F3" s="12"/>
      <c r="G3" s="12"/>
    </row>
    <row r="4" ht="13.95" customHeight="1">
      <c r="A4" s="11" t="s">
        <v>3</v>
      </c>
      <c r="B4" s="15">
        <v>3365.1857406509134</v>
      </c>
      <c r="C4" s="15">
        <v>3366.1983531418718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0.030090835068219413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0.01192997762566872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0.010784606943481379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0.012871547786641457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-0.0116267530014591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0.037052867205211726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-0.02028605190959043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-0.16345299803908198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3.66972743005305</v>
      </c>
      <c r="C14" s="15">
        <v>3.6688271539457444</v>
      </c>
      <c r="D14" s="11"/>
      <c r="E14" s="12"/>
      <c r="F14" s="12"/>
      <c r="G14" s="12"/>
    </row>
    <row r="15" ht="13.95" customHeight="1">
      <c r="A15" s="11" t="s">
        <v>14</v>
      </c>
      <c r="B15" s="15">
        <v>2.4261373789163159</v>
      </c>
      <c r="C15" s="15">
        <v>2.4254624131041882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-0.00089822924962432269</v>
      </c>
      <c r="C17" s="15">
        <v>-0.00089833640817262538</v>
      </c>
      <c r="D17" s="11"/>
      <c r="E17" s="12"/>
      <c r="F17" s="12"/>
      <c r="G17" s="12"/>
    </row>
    <row r="18" ht="13.95" customHeight="1">
      <c r="A18" s="16" t="s">
        <v>17</v>
      </c>
      <c r="B18" s="19">
        <v>3.6688292008034256</v>
      </c>
      <c r="C18" s="19">
        <v>3.6679288175375717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2.0205825378662419</v>
      </c>
      <c r="D19" s="17"/>
      <c r="E19" s="12"/>
      <c r="F19" s="12"/>
      <c r="G19" s="12"/>
    </row>
    <row r="20" ht="13.95" customHeight="1">
      <c r="A20" s="11" t="s">
        <v>19</v>
      </c>
      <c r="B20" s="97">
        <v>0.00090038326585384354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-0.00043769050277985011</v>
      </c>
      <c r="C21" s="100">
        <v>0.0031858210612067945</v>
      </c>
      <c r="D21" s="11"/>
      <c r="E21" s="12"/>
      <c r="F21" s="12"/>
      <c r="G21" s="12"/>
    </row>
    <row r="22" ht="13.95" customHeight="1">
      <c r="A22" s="11" t="s">
        <v>21</v>
      </c>
      <c r="B22" s="100">
        <v>-0.0015891488795316238</v>
      </c>
      <c r="C22" s="100">
        <v>2.6858592569410273</v>
      </c>
      <c r="D22" s="11"/>
      <c r="E22" s="12"/>
      <c r="F22" s="12"/>
      <c r="G22" s="12"/>
    </row>
    <row r="23" ht="13.95" customHeight="1">
      <c r="A23" s="11" t="s">
        <v>22</v>
      </c>
      <c r="B23" s="100">
        <v>0.00098724724422461353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0.0019399754039406407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G71"/>
  <sheetViews>
    <sheetView zoomScaleNormal="100" workbookViewId="0">
      <selection activeCell="A3" sqref="A3:A12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-0.072033689525485833</v>
      </c>
      <c r="D3" s="11"/>
      <c r="E3" s="12"/>
      <c r="F3" s="12"/>
      <c r="G3" s="12"/>
    </row>
    <row r="4" ht="13.95" customHeight="1">
      <c r="A4" s="11" t="s">
        <v>3</v>
      </c>
      <c r="B4" s="15">
        <v>12558.093187695618</v>
      </c>
      <c r="C4" s="15">
        <v>12597.596270392189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0.31456274536387774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0.23103759400011636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0.23402767731242058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0.23051582929123349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0.27657485060152975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0.49996622884027619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0.18713532076897188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0.21470483066658996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15080.827917432278</v>
      </c>
      <c r="C14" s="15">
        <v>15113.928108444978</v>
      </c>
      <c r="D14" s="11"/>
      <c r="E14" s="12"/>
      <c r="F14" s="12"/>
      <c r="G14" s="12"/>
    </row>
    <row r="15" ht="13.95" customHeight="1">
      <c r="A15" s="11" t="s">
        <v>14</v>
      </c>
      <c r="B15" s="15">
        <v>14725.702727026863</v>
      </c>
      <c r="C15" s="15">
        <v>14758.13841939194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116.5451768194655</v>
      </c>
      <c r="C17" s="15">
        <v>116.80114011360062</v>
      </c>
      <c r="D17" s="11"/>
      <c r="E17" s="12"/>
      <c r="F17" s="12"/>
      <c r="G17" s="12"/>
    </row>
    <row r="18" ht="13.95" customHeight="1">
      <c r="A18" s="16" t="s">
        <v>17</v>
      </c>
      <c r="B18" s="19">
        <v>15197.373094251743</v>
      </c>
      <c r="C18" s="19">
        <v>15230.729248558579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39619.850069420267</v>
      </c>
      <c r="D19" s="17"/>
      <c r="E19" s="12"/>
      <c r="F19" s="12"/>
      <c r="G19" s="12"/>
    </row>
    <row r="20" ht="13.95" customHeight="1">
      <c r="A20" s="11" t="s">
        <v>19</v>
      </c>
      <c r="B20" s="97">
        <v>-33.356154306835379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-35.111645148180429</v>
      </c>
      <c r="C21" s="100">
        <v>322.81418974059568</v>
      </c>
      <c r="D21" s="11"/>
      <c r="E21" s="12"/>
      <c r="F21" s="12"/>
      <c r="G21" s="12"/>
    </row>
    <row r="22" ht="13.95" customHeight="1">
      <c r="A22" s="11" t="s">
        <v>21</v>
      </c>
      <c r="B22" s="100">
        <v>0.09447976109712948</v>
      </c>
      <c r="C22" s="100">
        <v>40126.554822607293</v>
      </c>
      <c r="D22" s="11"/>
      <c r="E22" s="12"/>
      <c r="F22" s="12"/>
      <c r="G22" s="12"/>
    </row>
    <row r="23" ht="13.95" customHeight="1">
      <c r="A23" s="11" t="s">
        <v>22</v>
      </c>
      <c r="B23" s="100">
        <v>1.509383395090059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0.1516276851585594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G71"/>
  <sheetViews>
    <sheetView zoomScaleNormal="100" workbookViewId="0">
      <selection activeCell="B10" sqref="B10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-0.57298577540709772</v>
      </c>
      <c r="D3" s="11"/>
      <c r="E3" s="12"/>
      <c r="F3" s="12"/>
      <c r="G3" s="12"/>
    </row>
    <row r="4" ht="13.95" customHeight="1">
      <c r="A4" s="11" t="s">
        <v>3</v>
      </c>
      <c r="B4" s="15">
        <v>552804.28976679849</v>
      </c>
      <c r="C4" s="15">
        <v>553626.24200584646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0.14868774614515967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0.1464342275731445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0.14501362965031461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0.14433804456746024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0.1272767916614459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0.19220683781624448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0.15906843887754096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0.020048566775066057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746.44132798459407</v>
      </c>
      <c r="C14" s="15">
        <v>747.70441031746077</v>
      </c>
      <c r="D14" s="11"/>
      <c r="E14" s="12"/>
      <c r="F14" s="12"/>
      <c r="G14" s="12"/>
    </row>
    <row r="15" ht="13.95" customHeight="1">
      <c r="A15" s="11" t="s">
        <v>14</v>
      </c>
      <c r="B15" s="15">
        <v>596.32389573754563</v>
      </c>
      <c r="C15" s="15">
        <v>597.52437309102424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7.1283878667696658</v>
      </c>
      <c r="C17" s="15">
        <v>7.1217289444584875</v>
      </c>
      <c r="D17" s="11"/>
      <c r="E17" s="12"/>
      <c r="F17" s="12"/>
      <c r="G17" s="12"/>
    </row>
    <row r="18" ht="13.95" customHeight="1">
      <c r="A18" s="16" t="s">
        <v>17</v>
      </c>
      <c r="B18" s="19">
        <v>753.56971585136375</v>
      </c>
      <c r="C18" s="19">
        <v>754.82613926191925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39619.850069420267</v>
      </c>
      <c r="D19" s="17"/>
      <c r="E19" s="12"/>
      <c r="F19" s="12"/>
      <c r="G19" s="12"/>
    </row>
    <row r="20" hidden="1" ht="13.95" customHeight="1">
      <c r="A20" s="11" t="s">
        <v>19</v>
      </c>
      <c r="B20" s="97">
        <v>-1.2564234105554988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-1.1034839926320887</v>
      </c>
      <c r="C21" s="100">
        <v>7.8401894708547388</v>
      </c>
      <c r="D21" s="11"/>
      <c r="E21" s="12"/>
      <c r="F21" s="12"/>
      <c r="G21" s="12"/>
    </row>
    <row r="22">
      <c r="A22" s="11" t="s">
        <v>21</v>
      </c>
      <c r="B22" s="100">
        <v>-0.00821560252251139</v>
      </c>
      <c r="C22" s="100">
        <v>601.94698333761755</v>
      </c>
      <c r="D22" s="11"/>
      <c r="E22" s="12"/>
      <c r="F22" s="12"/>
      <c r="G22" s="12"/>
    </row>
    <row r="23">
      <c r="A23" s="11" t="s">
        <v>22</v>
      </c>
      <c r="B23" s="100">
        <v>-0.33975510308260704</v>
      </c>
      <c r="C23" s="100"/>
      <c r="D23" s="11"/>
      <c r="E23" s="12"/>
      <c r="F23" s="12"/>
      <c r="G23" s="12"/>
    </row>
    <row r="24">
      <c r="A24" s="11" t="s">
        <v>23</v>
      </c>
      <c r="B24" s="100">
        <v>0</v>
      </c>
      <c r="C24" s="100"/>
      <c r="D24" s="11"/>
      <c r="E24" s="12"/>
      <c r="F24" s="12"/>
      <c r="G24" s="12"/>
    </row>
    <row r="25">
      <c r="A25" s="16" t="s">
        <v>24</v>
      </c>
      <c r="B25" s="101">
        <v>0.19503128768171005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</row>
    <row r="69">
      <c r="A69" s="12"/>
      <c r="B69" s="12"/>
      <c r="C69" s="12"/>
      <c r="D69" s="12"/>
    </row>
    <row r="70">
      <c r="A70" s="12"/>
      <c r="B70" s="12"/>
      <c r="C70" s="12"/>
      <c r="D70" s="12"/>
    </row>
    <row r="71">
      <c r="A71" s="12"/>
      <c r="B71" s="12"/>
      <c r="C71" s="12"/>
      <c r="D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G71"/>
  <sheetViews>
    <sheetView zoomScaleNormal="100" workbookViewId="0">
      <selection activeCell="J21" sqref="J21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-0.51540550707755983</v>
      </c>
      <c r="D3" s="11"/>
      <c r="E3" s="12"/>
      <c r="F3" s="12"/>
      <c r="G3" s="12"/>
    </row>
    <row r="4" ht="13.95" customHeight="1">
      <c r="A4" s="11" t="s">
        <v>3</v>
      </c>
      <c r="B4" s="15">
        <v>170148.19531946254</v>
      </c>
      <c r="C4" s="15">
        <v>170112.58553992314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-0.020928684828258604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-0.021105454454761752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-0.021167630592655584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-0.025246226274755479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-0.022269335713143157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0.044200583239306646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-0.098264767287481458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-0.24531020685419902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37.76918595866681</v>
      </c>
      <c r="C14" s="15">
        <v>37.779983175045551</v>
      </c>
      <c r="D14" s="11"/>
      <c r="E14" s="12"/>
      <c r="F14" s="12"/>
      <c r="G14" s="12"/>
    </row>
    <row r="15" ht="13.95" customHeight="1">
      <c r="A15" s="11" t="s">
        <v>14</v>
      </c>
      <c r="B15" s="15">
        <v>32.609139569791139</v>
      </c>
      <c r="C15" s="15">
        <v>32.621091489727689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0.34928438974935672</v>
      </c>
      <c r="C17" s="15">
        <v>0.34815263303479055</v>
      </c>
      <c r="D17" s="11"/>
      <c r="E17" s="12"/>
      <c r="F17" s="12"/>
      <c r="G17" s="12"/>
    </row>
    <row r="18" ht="13.95" customHeight="1">
      <c r="A18" s="16" t="s">
        <v>17</v>
      </c>
      <c r="B18" s="19">
        <v>38.118470348416167</v>
      </c>
      <c r="C18" s="19">
        <v>38.128135808080337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39619.850069420267</v>
      </c>
      <c r="D19" s="17"/>
      <c r="E19" s="12"/>
      <c r="F19" s="12"/>
      <c r="G19" s="12"/>
    </row>
    <row r="20" ht="13.95" customHeight="1">
      <c r="A20" s="11" t="s">
        <v>19</v>
      </c>
      <c r="B20" s="97">
        <v>-0.0096654596641698731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0.0080450763982358436</v>
      </c>
      <c r="C21" s="100">
        <v>0.332319526443122</v>
      </c>
      <c r="D21" s="11"/>
      <c r="E21" s="12"/>
      <c r="F21" s="12"/>
      <c r="G21" s="12"/>
    </row>
    <row r="22" ht="13.95" customHeight="1">
      <c r="A22" s="11" t="s">
        <v>21</v>
      </c>
      <c r="B22" s="100">
        <v>-0.006669610715461979</v>
      </c>
      <c r="C22" s="100">
        <v>26.81941790042584</v>
      </c>
      <c r="D22" s="11"/>
      <c r="E22" s="12"/>
      <c r="F22" s="12"/>
      <c r="G22" s="12"/>
    </row>
    <row r="23" ht="13.95" customHeight="1">
      <c r="A23" s="11" t="s">
        <v>22</v>
      </c>
      <c r="B23" s="100">
        <v>-0.020184497098586173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0.0091435717516392661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G71"/>
  <sheetViews>
    <sheetView zoomScaleNormal="100" workbookViewId="0">
      <selection activeCell="C4" sqref="C4"/>
    </sheetView>
  </sheetViews>
  <sheetFormatPr defaultRowHeight="14.4" x14ac:dyDescent="0.3"/>
  <cols>
    <col min="1" max="1" width="29.6640625" customWidth="1"/>
    <col min="2" max="3" width="15.6640625" customWidth="1"/>
    <col min="4" max="4" width="1.33203125" customWidth="1"/>
  </cols>
  <sheetData>
    <row r="1" ht="10.2" customHeight="1">
      <c r="A1" s="11"/>
      <c r="B1" s="11"/>
      <c r="C1" s="11"/>
      <c r="D1" s="11"/>
      <c r="E1" s="12"/>
      <c r="F1" s="12"/>
      <c r="G1" s="12"/>
    </row>
    <row r="2" ht="13.95" customHeight="1">
      <c r="A2" s="13"/>
      <c r="B2" s="14" t="s">
        <v>0</v>
      </c>
      <c r="C2" s="14" t="s">
        <v>1</v>
      </c>
      <c r="D2" s="13"/>
      <c r="E2" s="12"/>
      <c r="F2" s="12"/>
      <c r="G2" s="12"/>
    </row>
    <row r="3" ht="13.95" customHeight="1">
      <c r="A3" s="11" t="s">
        <v>2</v>
      </c>
      <c r="B3" s="15"/>
      <c r="C3" s="15">
        <v>-0.67790447960850431</v>
      </c>
      <c r="D3" s="11"/>
      <c r="E3" s="12"/>
      <c r="F3" s="12"/>
      <c r="G3" s="12"/>
    </row>
    <row r="4" ht="13.95" customHeight="1">
      <c r="A4" s="11" t="s">
        <v>3</v>
      </c>
      <c r="B4" s="15">
        <v>460366.32825874811</v>
      </c>
      <c r="C4" s="15">
        <v>460540.0175177232</v>
      </c>
      <c r="D4" s="11"/>
      <c r="E4" s="12"/>
      <c r="F4" s="12"/>
      <c r="G4" s="12"/>
    </row>
    <row r="5" ht="13.95" customHeight="1">
      <c r="A5" s="11" t="s">
        <v>4</v>
      </c>
      <c r="B5" s="15"/>
      <c r="C5" s="15">
        <v>0.037728488882327049</v>
      </c>
      <c r="D5" s="11"/>
      <c r="E5" s="12"/>
      <c r="F5" s="12"/>
      <c r="G5" s="12"/>
    </row>
    <row r="6" ht="13.95" customHeight="1">
      <c r="A6" s="11" t="s">
        <v>5</v>
      </c>
      <c r="B6" s="15"/>
      <c r="C6" s="15">
        <v>0.0317965269470033</v>
      </c>
      <c r="D6" s="11"/>
      <c r="E6" s="12"/>
      <c r="F6" s="12"/>
      <c r="G6" s="12"/>
    </row>
    <row r="7" ht="13.95" customHeight="1">
      <c r="A7" s="11" t="s">
        <v>6</v>
      </c>
      <c r="B7" s="15"/>
      <c r="C7" s="15">
        <v>0.028588405258545002</v>
      </c>
      <c r="D7" s="11"/>
      <c r="E7" s="12"/>
      <c r="F7" s="12"/>
      <c r="G7" s="12"/>
    </row>
    <row r="8" ht="13.95" customHeight="1">
      <c r="A8" s="11" t="s">
        <v>7</v>
      </c>
      <c r="B8" s="15"/>
      <c r="C8" s="15">
        <v>0.026405656386452314</v>
      </c>
      <c r="D8" s="11"/>
      <c r="E8" s="12"/>
      <c r="F8" s="12"/>
      <c r="G8" s="12"/>
    </row>
    <row r="9" ht="13.95" customHeight="1">
      <c r="A9" s="41" t="s">
        <v>8</v>
      </c>
      <c r="B9" s="42"/>
      <c r="C9" s="42">
        <v>0.0025477610046786836</v>
      </c>
      <c r="D9" s="41"/>
      <c r="E9" s="12"/>
      <c r="F9" s="12"/>
      <c r="G9" s="12"/>
    </row>
    <row r="10" ht="13.95" customHeight="1">
      <c r="A10" s="41" t="s">
        <v>9</v>
      </c>
      <c r="B10" s="42"/>
      <c r="C10" s="42">
        <v>0.046559472377305511</v>
      </c>
      <c r="D10" s="41"/>
      <c r="E10" s="12"/>
      <c r="F10" s="12"/>
      <c r="G10" s="12"/>
    </row>
    <row r="11" ht="13.95" customHeight="1">
      <c r="A11" s="41" t="s">
        <v>10</v>
      </c>
      <c r="B11" s="42"/>
      <c r="C11" s="42">
        <v>0.18581099858046013</v>
      </c>
      <c r="D11" s="41"/>
      <c r="E11" s="12"/>
      <c r="F11" s="12"/>
      <c r="G11" s="12"/>
    </row>
    <row r="12" ht="13.95" customHeight="1">
      <c r="A12" s="41" t="s">
        <v>11</v>
      </c>
      <c r="B12" s="42"/>
      <c r="C12" s="42">
        <v>-0.11632267008653274</v>
      </c>
      <c r="D12" s="41"/>
      <c r="E12" s="12"/>
      <c r="F12" s="12"/>
      <c r="G12" s="12"/>
    </row>
    <row r="13" ht="13.95" customHeight="1">
      <c r="A13" s="40"/>
      <c r="B13" s="95" t="s">
        <v>12</v>
      </c>
      <c r="C13" s="96"/>
      <c r="D13" s="40"/>
      <c r="E13" s="12"/>
      <c r="F13" s="12"/>
      <c r="G13" s="12"/>
    </row>
    <row r="14" ht="13.95" customHeight="1">
      <c r="A14" s="11" t="s">
        <v>13</v>
      </c>
      <c r="B14" s="15">
        <v>490.34339614485071</v>
      </c>
      <c r="C14" s="15">
        <v>490.411332604342</v>
      </c>
      <c r="D14" s="11"/>
      <c r="E14" s="12"/>
      <c r="F14" s="12"/>
      <c r="G14" s="12"/>
    </row>
    <row r="15" ht="13.95" customHeight="1">
      <c r="A15" s="11" t="s">
        <v>14</v>
      </c>
      <c r="B15" s="15">
        <v>383.47425219991675</v>
      </c>
      <c r="C15" s="15">
        <v>383.47034244783714</v>
      </c>
      <c r="D15" s="11"/>
      <c r="E15" s="12"/>
      <c r="F15" s="12"/>
      <c r="G15" s="12"/>
    </row>
    <row r="16" ht="13.95" customHeight="1">
      <c r="A16" s="11" t="s">
        <v>15</v>
      </c>
      <c r="B16" s="15">
        <v>0</v>
      </c>
      <c r="C16" s="15">
        <v>0</v>
      </c>
      <c r="D16" s="11"/>
      <c r="E16" s="12"/>
      <c r="F16" s="12"/>
      <c r="G16" s="12"/>
    </row>
    <row r="17" ht="13.95" customHeight="1">
      <c r="A17" s="11" t="s">
        <v>16</v>
      </c>
      <c r="B17" s="15">
        <v>14.96400349732872</v>
      </c>
      <c r="C17" s="15">
        <v>14.936283002424881</v>
      </c>
      <c r="D17" s="11"/>
      <c r="E17" s="12"/>
      <c r="F17" s="12"/>
      <c r="G17" s="12"/>
    </row>
    <row r="18" ht="13.95" customHeight="1">
      <c r="A18" s="16" t="s">
        <v>17</v>
      </c>
      <c r="B18" s="19">
        <v>505.3073996421794</v>
      </c>
      <c r="C18" s="19">
        <v>505.34761560676691</v>
      </c>
      <c r="D18" s="16"/>
      <c r="E18" s="12"/>
      <c r="F18" s="12"/>
      <c r="G18" s="12"/>
    </row>
    <row r="19" ht="13.95" customHeight="1">
      <c r="A19" s="11"/>
      <c r="B19" s="98" t="s">
        <v>18</v>
      </c>
      <c r="C19" s="102">
        <v>39619.850069420267</v>
      </c>
      <c r="D19" s="17"/>
      <c r="E19" s="12"/>
      <c r="F19" s="12"/>
      <c r="G19" s="12"/>
    </row>
    <row r="20" ht="13.95" customHeight="1">
      <c r="A20" s="11" t="s">
        <v>19</v>
      </c>
      <c r="B20" s="97">
        <v>-0.040215964587503095</v>
      </c>
      <c r="C20" s="97">
        <v>0</v>
      </c>
      <c r="D20" s="11"/>
      <c r="E20" s="12"/>
      <c r="F20" s="12"/>
      <c r="G20" s="12"/>
    </row>
    <row r="21" ht="13.95" customHeight="1">
      <c r="A21" s="11" t="s">
        <v>20</v>
      </c>
      <c r="B21" s="100">
        <v>-0.16067020349243333</v>
      </c>
      <c r="C21" s="100">
        <v>19.464049980560787</v>
      </c>
      <c r="D21" s="11"/>
      <c r="E21" s="12"/>
      <c r="F21" s="12"/>
      <c r="G21" s="12"/>
    </row>
    <row r="22" ht="13.95" customHeight="1">
      <c r="A22" s="11" t="s">
        <v>21</v>
      </c>
      <c r="B22" s="100">
        <v>-0.18246396440271129</v>
      </c>
      <c r="C22" s="100">
        <v>370.14031025909492</v>
      </c>
      <c r="D22" s="11"/>
      <c r="E22" s="12"/>
      <c r="F22" s="12"/>
      <c r="G22" s="12"/>
    </row>
    <row r="23" ht="13.95" customHeight="1">
      <c r="A23" s="11" t="s">
        <v>22</v>
      </c>
      <c r="B23" s="100">
        <v>0.1051686454460149</v>
      </c>
      <c r="C23" s="100"/>
      <c r="D23" s="11"/>
      <c r="E23" s="12"/>
      <c r="F23" s="12"/>
      <c r="G23" s="12"/>
    </row>
    <row r="24" hidden="1" ht="13.95" customHeight="1">
      <c r="A24" s="11" t="s">
        <v>23</v>
      </c>
      <c r="B24" s="100">
        <v>0</v>
      </c>
      <c r="C24" s="100"/>
      <c r="D24" s="11"/>
      <c r="E24" s="12"/>
      <c r="F24" s="12"/>
      <c r="G24" s="12"/>
    </row>
    <row r="25" ht="13.95" customHeight="1">
      <c r="A25" s="16" t="s">
        <v>24</v>
      </c>
      <c r="B25" s="101">
        <v>0.19774955786169318</v>
      </c>
      <c r="C25" s="101"/>
      <c r="D25" s="16"/>
      <c r="E25" s="12"/>
      <c r="F25" s="12"/>
      <c r="G25" s="12"/>
    </row>
    <row r="26">
      <c r="A26" s="12"/>
      <c r="B26" s="12"/>
      <c r="C26" s="12"/>
      <c r="D26" s="12"/>
      <c r="E26" s="12"/>
      <c r="F26" s="12"/>
      <c r="G26" s="12"/>
    </row>
    <row r="27">
      <c r="A27" s="12"/>
      <c r="B27" s="12"/>
      <c r="C27" s="12"/>
      <c r="D27" s="12"/>
      <c r="E27" s="12"/>
      <c r="F27" s="12"/>
      <c r="G27" s="12"/>
    </row>
    <row r="28">
      <c r="A28" s="12"/>
      <c r="B28" s="12"/>
      <c r="C28" s="12"/>
      <c r="D28" s="12"/>
      <c r="E28" s="12"/>
      <c r="F28" s="12"/>
      <c r="G28" s="12"/>
    </row>
    <row r="29">
      <c r="A29" s="12"/>
      <c r="B29" s="12"/>
      <c r="C29" s="12"/>
      <c r="D29" s="12"/>
      <c r="E29" s="12"/>
      <c r="F29" s="12"/>
      <c r="G29" s="12"/>
    </row>
    <row r="30">
      <c r="A30" s="12"/>
      <c r="B30" s="12"/>
      <c r="C30" s="12"/>
      <c r="D30" s="12"/>
      <c r="E30" s="12"/>
      <c r="F30" s="12"/>
      <c r="G30" s="12"/>
    </row>
    <row r="31">
      <c r="A31" s="12"/>
      <c r="B31" s="12"/>
      <c r="C31" s="12"/>
      <c r="D31" s="12"/>
      <c r="E31" s="12"/>
      <c r="F31" s="12"/>
      <c r="G31" s="12"/>
    </row>
    <row r="32">
      <c r="A32" s="12"/>
      <c r="B32" s="12"/>
      <c r="C32" s="12"/>
      <c r="D32" s="12"/>
      <c r="E32" s="12"/>
      <c r="F32" s="12"/>
      <c r="G32" s="12"/>
    </row>
    <row r="33">
      <c r="A33" s="12"/>
      <c r="B33" s="12"/>
      <c r="C33" s="12"/>
      <c r="D33" s="12"/>
      <c r="E33" s="12"/>
      <c r="F33" s="12"/>
      <c r="G33" s="12"/>
    </row>
    <row r="34">
      <c r="A34" s="12"/>
      <c r="B34" s="12"/>
      <c r="C34" s="12"/>
      <c r="D34" s="12"/>
      <c r="E34" s="12"/>
      <c r="F34" s="12"/>
      <c r="G34" s="12"/>
    </row>
    <row r="35">
      <c r="A35" s="12"/>
      <c r="B35" s="12"/>
      <c r="C35" s="12"/>
      <c r="D35" s="12"/>
      <c r="E35" s="12"/>
      <c r="F35" s="12"/>
      <c r="G35" s="12"/>
    </row>
    <row r="36">
      <c r="A36" s="12"/>
      <c r="B36" s="12"/>
      <c r="C36" s="12"/>
      <c r="D36" s="12"/>
      <c r="E36" s="12"/>
      <c r="F36" s="12"/>
      <c r="G36" s="12"/>
    </row>
    <row r="37">
      <c r="A37" s="12"/>
      <c r="B37" s="12"/>
      <c r="C37" s="12"/>
      <c r="D37" s="12"/>
      <c r="E37" s="12"/>
      <c r="F37" s="12"/>
      <c r="G37" s="12"/>
    </row>
    <row r="38">
      <c r="A38" s="12"/>
      <c r="B38" s="12"/>
      <c r="C38" s="12"/>
      <c r="D38" s="12"/>
      <c r="E38" s="12"/>
      <c r="F38" s="12"/>
      <c r="G38" s="12"/>
    </row>
    <row r="39">
      <c r="A39" s="12"/>
      <c r="B39" s="12"/>
      <c r="C39" s="12"/>
      <c r="D39" s="12"/>
      <c r="E39" s="12"/>
      <c r="F39" s="12"/>
      <c r="G39" s="12"/>
    </row>
    <row r="40">
      <c r="A40" s="12"/>
      <c r="B40" s="12"/>
      <c r="C40" s="12"/>
      <c r="D40" s="12"/>
      <c r="E40" s="12"/>
      <c r="F40" s="12"/>
      <c r="G40" s="12"/>
    </row>
    <row r="41">
      <c r="A41" s="12"/>
      <c r="B41" s="12"/>
      <c r="C41" s="12"/>
      <c r="D41" s="12"/>
      <c r="E41" s="12"/>
      <c r="F41" s="12"/>
      <c r="G41" s="12"/>
    </row>
    <row r="42">
      <c r="A42" s="12"/>
      <c r="B42" s="12"/>
      <c r="C42" s="12"/>
      <c r="D42" s="12"/>
      <c r="E42" s="12"/>
      <c r="F42" s="12"/>
      <c r="G42" s="12"/>
    </row>
    <row r="43">
      <c r="A43" s="12"/>
      <c r="B43" s="12"/>
      <c r="C43" s="12"/>
      <c r="D43" s="12"/>
      <c r="E43" s="12"/>
      <c r="F43" s="12"/>
      <c r="G43" s="12"/>
    </row>
    <row r="44">
      <c r="A44" s="12"/>
      <c r="B44" s="12"/>
      <c r="C44" s="12"/>
      <c r="D44" s="12"/>
      <c r="E44" s="12"/>
      <c r="F44" s="12"/>
      <c r="G44" s="12"/>
    </row>
    <row r="45">
      <c r="A45" s="12"/>
      <c r="B45" s="12"/>
      <c r="C45" s="12"/>
      <c r="D45" s="12"/>
      <c r="E45" s="12"/>
      <c r="F45" s="12"/>
      <c r="G45" s="12"/>
    </row>
    <row r="46">
      <c r="A46" s="12"/>
      <c r="B46" s="12"/>
      <c r="C46" s="12"/>
      <c r="D46" s="12"/>
      <c r="E46" s="12"/>
      <c r="F46" s="12"/>
      <c r="G46" s="12"/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/>
      <c r="C48" s="12"/>
      <c r="D48" s="12"/>
      <c r="E48" s="12"/>
      <c r="F48" s="12"/>
      <c r="G48" s="12"/>
    </row>
    <row r="49">
      <c r="A49" s="12"/>
      <c r="B49" s="12"/>
      <c r="C49" s="12"/>
      <c r="D49" s="12"/>
      <c r="E49" s="12"/>
      <c r="F49" s="12"/>
      <c r="G49" s="12"/>
    </row>
    <row r="50">
      <c r="A50" s="12"/>
      <c r="B50" s="12"/>
      <c r="C50" s="12"/>
      <c r="D50" s="12"/>
      <c r="E50" s="12"/>
      <c r="F50" s="12"/>
      <c r="G50" s="12"/>
    </row>
    <row r="51">
      <c r="A51" s="12"/>
      <c r="B51" s="12"/>
      <c r="C51" s="12"/>
      <c r="D51" s="12"/>
      <c r="E51" s="12"/>
      <c r="F51" s="12"/>
      <c r="G51" s="12"/>
    </row>
    <row r="52">
      <c r="A52" s="12"/>
      <c r="B52" s="12"/>
      <c r="C52" s="12"/>
      <c r="D52" s="12"/>
      <c r="E52" s="12"/>
      <c r="F52" s="12"/>
      <c r="G52" s="12"/>
    </row>
    <row r="53">
      <c r="A53" s="12"/>
      <c r="B53" s="12"/>
      <c r="C53" s="12"/>
      <c r="D53" s="12"/>
      <c r="E53" s="12"/>
      <c r="F53" s="12"/>
      <c r="G53" s="12"/>
    </row>
    <row r="54">
      <c r="A54" s="12"/>
      <c r="B54" s="12"/>
      <c r="C54" s="12"/>
      <c r="D54" s="12"/>
      <c r="E54" s="12"/>
      <c r="F54" s="12"/>
      <c r="G54" s="12"/>
    </row>
    <row r="55">
      <c r="A55" s="12"/>
      <c r="B55" s="12"/>
      <c r="C55" s="12"/>
      <c r="D55" s="12"/>
      <c r="E55" s="12"/>
      <c r="F55" s="12"/>
      <c r="G55" s="12"/>
    </row>
    <row r="56">
      <c r="A56" s="12"/>
      <c r="B56" s="12"/>
      <c r="C56" s="12"/>
      <c r="D56" s="12"/>
      <c r="E56" s="12"/>
      <c r="F56" s="12"/>
      <c r="G56" s="12"/>
    </row>
    <row r="57">
      <c r="A57" s="12"/>
      <c r="B57" s="12"/>
      <c r="C57" s="12"/>
      <c r="D57" s="12"/>
      <c r="E57" s="12"/>
      <c r="F57" s="12"/>
      <c r="G57" s="12"/>
    </row>
    <row r="58">
      <c r="A58" s="12"/>
      <c r="B58" s="12"/>
      <c r="C58" s="12"/>
      <c r="D58" s="12"/>
      <c r="E58" s="12"/>
      <c r="F58" s="12"/>
      <c r="G58" s="12"/>
    </row>
    <row r="59">
      <c r="A59" s="12"/>
      <c r="B59" s="12"/>
      <c r="C59" s="12"/>
      <c r="D59" s="12"/>
      <c r="E59" s="12"/>
      <c r="F59" s="12"/>
      <c r="G59" s="12"/>
    </row>
    <row r="60">
      <c r="A60" s="12"/>
      <c r="B60" s="12"/>
      <c r="C60" s="12"/>
      <c r="D60" s="12"/>
      <c r="E60" s="12"/>
      <c r="F60" s="12"/>
      <c r="G60" s="12"/>
    </row>
    <row r="61">
      <c r="A61" s="12"/>
      <c r="B61" s="12"/>
      <c r="C61" s="12"/>
      <c r="D61" s="12"/>
      <c r="E61" s="12"/>
      <c r="F61" s="12"/>
      <c r="G61" s="12"/>
    </row>
    <row r="62">
      <c r="A62" s="12"/>
      <c r="B62" s="12"/>
      <c r="C62" s="12"/>
      <c r="D62" s="12"/>
      <c r="E62" s="12"/>
      <c r="F62" s="12"/>
      <c r="G62" s="12"/>
    </row>
    <row r="63">
      <c r="A63" s="12"/>
      <c r="B63" s="12"/>
      <c r="C63" s="12"/>
      <c r="D63" s="12"/>
      <c r="E63" s="12"/>
      <c r="F63" s="12"/>
      <c r="G63" s="12"/>
    </row>
    <row r="64">
      <c r="A64" s="12"/>
      <c r="B64" s="12"/>
      <c r="C64" s="12"/>
      <c r="D64" s="12"/>
      <c r="E64" s="12"/>
      <c r="F64" s="12"/>
      <c r="G64" s="12"/>
    </row>
    <row r="65">
      <c r="A65" s="12"/>
      <c r="B65" s="12"/>
      <c r="C65" s="12"/>
      <c r="D65" s="12"/>
      <c r="E65" s="12"/>
      <c r="F65" s="12"/>
      <c r="G65" s="12"/>
    </row>
    <row r="66">
      <c r="A66" s="12"/>
      <c r="B66" s="12"/>
      <c r="C66" s="12"/>
      <c r="D66" s="12"/>
      <c r="E66" s="12"/>
      <c r="F66" s="12"/>
      <c r="G66" s="12"/>
    </row>
    <row r="67">
      <c r="A67" s="12"/>
      <c r="B67" s="12"/>
      <c r="C67" s="12"/>
      <c r="D67" s="12"/>
      <c r="E67" s="12"/>
      <c r="F67" s="12"/>
      <c r="G67" s="12"/>
    </row>
    <row r="68">
      <c r="A68" s="12"/>
      <c r="B68" s="12"/>
      <c r="C68" s="12"/>
      <c r="D68" s="12"/>
      <c r="E68" s="12"/>
      <c r="F68" s="12"/>
      <c r="G68" s="12"/>
    </row>
    <row r="69">
      <c r="A69" s="12"/>
      <c r="B69" s="12"/>
      <c r="C69" s="12"/>
      <c r="D69" s="12"/>
      <c r="E69" s="12"/>
      <c r="F69" s="12"/>
      <c r="G69" s="12"/>
    </row>
    <row r="70">
      <c r="A70" s="12"/>
      <c r="B70" s="12"/>
      <c r="C70" s="12"/>
      <c r="D70" s="12"/>
      <c r="E70" s="12"/>
      <c r="F70" s="12"/>
      <c r="G70" s="12"/>
    </row>
    <row r="71">
      <c r="A71" s="12"/>
      <c r="B71" s="12"/>
      <c r="C71" s="12"/>
      <c r="D71" s="12"/>
      <c r="E71" s="12"/>
      <c r="F71" s="12"/>
      <c r="G71" s="12"/>
    </row>
  </sheetData>
  <mergeCells>
    <mergeCell ref="B13:C13"/>
    <mergeCell ref="B24:C24"/>
    <mergeCell ref="B25:C25"/>
    <mergeCell ref="B19:C19"/>
    <mergeCell ref="B20:C20"/>
    <mergeCell ref="B21:C21"/>
    <mergeCell ref="B22:C22"/>
    <mergeCell ref="B23:C23"/>
  </mergeCells>
  <pageMargins left="0.7" right="0.7" top="0.75" bottom="0.75" header="0.3" footer="0.3"/>
  <pageSetup paperSize="9" orientation="portrait"/>
  <headerFooter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F9"/>
  <sheetViews>
    <sheetView workbookViewId="0">
      <selection activeCell="F4" sqref="F4"/>
    </sheetView>
  </sheetViews>
  <sheetFormatPr defaultRowHeight="14.4" x14ac:dyDescent="0.3"/>
  <cols>
    <col min="1" max="1" width="30" customWidth="1"/>
    <col min="2" max="3" width="15.6640625" customWidth="1"/>
    <col min="4" max="4" width="1.33203125" customWidth="1"/>
  </cols>
  <sheetData>
    <row r="1" ht="10.35" customHeight="1">
      <c r="A1" s="22"/>
      <c r="B1" s="23"/>
      <c r="C1" s="23"/>
      <c r="D1" s="23"/>
    </row>
    <row r="2" ht="14.1" customHeight="1">
      <c r="A2" s="22"/>
      <c r="B2" s="23" t="s">
        <v>0</v>
      </c>
      <c r="C2" s="23" t="s">
        <v>1</v>
      </c>
      <c r="D2" s="23"/>
    </row>
    <row r="3" ht="14.1" customHeight="1">
      <c r="A3" s="24" t="s">
        <v>13</v>
      </c>
      <c r="B3" s="28">
        <v>6243.5126119487522</v>
      </c>
      <c r="C3" s="28">
        <v>6235.7772338006907</v>
      </c>
      <c r="D3" s="25"/>
      <c r="F3" s="71">
        <f ref="F3:F6" t="shared" si="0">B3-C3</f>
        <v>7.7353781480615</v>
      </c>
    </row>
    <row r="4" ht="14.1" customHeight="1">
      <c r="A4" s="22" t="s">
        <v>14</v>
      </c>
      <c r="B4" s="29">
        <v>5096.6512805830525</v>
      </c>
      <c r="C4" s="29">
        <v>5088.3143500919032</v>
      </c>
      <c r="D4" s="23"/>
      <c r="F4" s="71">
        <f t="shared" si="0"/>
        <v>8.33693049114936</v>
      </c>
    </row>
    <row r="5" ht="14.1" customHeight="1">
      <c r="A5" s="22"/>
      <c r="B5" s="29">
        <v>0</v>
      </c>
      <c r="C5" s="29">
        <v>0</v>
      </c>
      <c r="D5" s="23"/>
      <c r="F5" s="71">
        <f t="shared" si="0"/>
        <v>0</v>
      </c>
    </row>
    <row r="6" ht="14.1" customHeight="1">
      <c r="A6" s="22" t="s">
        <v>16</v>
      </c>
      <c r="B6" s="29">
        <v>146.78430006533148</v>
      </c>
      <c r="C6" s="29">
        <v>146.58542572595167</v>
      </c>
      <c r="D6" s="23"/>
      <c r="F6" s="71">
        <f t="shared" si="0"/>
        <v>0.19887433937981314</v>
      </c>
    </row>
    <row r="7" ht="14.1" customHeight="1">
      <c r="A7" s="26" t="s">
        <v>17</v>
      </c>
      <c r="B7" s="30">
        <v>6390.2969120140833</v>
      </c>
      <c r="C7" s="30">
        <v>6382.3626595266423</v>
      </c>
      <c r="D7" s="27"/>
      <c r="F7" s="71">
        <f>B7-C7</f>
        <v>7.9342524874409719</v>
      </c>
    </row>
    <row r="9">
      <c r="A9" s="0" t="s">
        <v>439</v>
      </c>
      <c r="B9" s="0">
        <f>B6+B3-B7</f>
        <v>0</v>
      </c>
      <c r="C9" s="0">
        <f>C6+C3-C7</f>
        <v>0</v>
      </c>
    </row>
  </sheetData>
  <pageMargins left="0.7" right="0.7" top="0.75" bottom="0.75" header="0.3" footer="0.3"/>
  <pageSetup paperSize="9" orientation="portrait"/>
  <headerFooter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H30"/>
  <sheetViews>
    <sheetView zoomScaleNormal="100" workbookViewId="0">
      <selection activeCell="H23" sqref="H23:H24"/>
    </sheetView>
  </sheetViews>
  <sheetFormatPr defaultColWidth="8.88671875" defaultRowHeight="14.4" x14ac:dyDescent="0.3"/>
  <cols>
    <col min="1" max="1" width="29.6640625" customWidth="1" style="12"/>
    <col min="2" max="3" width="15.6640625" customWidth="1" style="12"/>
    <col min="4" max="4" width="1.33203125" customWidth="1" style="12"/>
    <col min="5" max="119" width="8.88671875" customWidth="1" style="12"/>
    <col min="120" max="16384" width="8.88671875" customWidth="1" style="12"/>
  </cols>
  <sheetData>
    <row r="1" ht="10.2" customHeight="1">
      <c r="A1" s="11"/>
      <c r="B1" s="11"/>
      <c r="C1" s="11"/>
      <c r="D1" s="11"/>
    </row>
    <row r="2" ht="13.95" customHeight="1">
      <c r="A2" s="13"/>
      <c r="B2" s="14" t="s">
        <v>0</v>
      </c>
      <c r="C2" s="14" t="s">
        <v>1</v>
      </c>
      <c r="D2" s="13"/>
    </row>
    <row r="3" ht="13.95" customHeight="1">
      <c r="A3" s="11" t="s">
        <v>13</v>
      </c>
      <c r="B3" s="15">
        <v>61763.877006153234</v>
      </c>
      <c r="C3" s="15">
        <v>54910.021095026874</v>
      </c>
      <c r="D3" s="11"/>
    </row>
    <row r="4" ht="13.95" customHeight="1">
      <c r="A4" s="11" t="s">
        <v>14</v>
      </c>
      <c r="B4" s="15">
        <v>52120.874602045682</v>
      </c>
      <c r="C4" s="15">
        <v>50193.025148277811</v>
      </c>
      <c r="D4" s="11"/>
    </row>
    <row r="5" ht="13.95" customHeight="1">
      <c r="A5" s="11" t="s">
        <v>15</v>
      </c>
      <c r="B5" s="15">
        <v>2193.1276439686394</v>
      </c>
      <c r="C5" s="15">
        <v>921.15434973235824</v>
      </c>
      <c r="D5" s="11"/>
    </row>
    <row r="6" ht="13.95" customHeight="1">
      <c r="A6" s="11" t="s">
        <v>16</v>
      </c>
      <c r="B6" s="15">
        <v>12329.230549384436</v>
      </c>
      <c r="C6" s="15">
        <v>6601.9914925632975</v>
      </c>
      <c r="D6" s="11"/>
    </row>
    <row r="7" ht="13.95" customHeight="1">
      <c r="A7" s="11" t="s">
        <v>369</v>
      </c>
      <c r="B7" s="15">
        <v>0</v>
      </c>
      <c r="C7" s="15">
        <v>5156.2623826037607</v>
      </c>
      <c r="D7" s="11"/>
    </row>
    <row r="8" ht="13.95" customHeight="1">
      <c r="A8" s="16" t="s">
        <v>17</v>
      </c>
      <c r="B8" s="14">
        <v>76286.2351995063</v>
      </c>
      <c r="C8" s="14">
        <v>57276.904554718763</v>
      </c>
      <c r="D8" s="16"/>
      <c r="E8" s="12">
        <f>B8-C8</f>
        <v>19009.330644787544</v>
      </c>
      <c r="G8" s="12">
        <f>B3+B5+B6-B7</f>
        <v>76286.2351995063</v>
      </c>
      <c r="H8" s="12">
        <f>C3+C5+C6-C7</f>
        <v>57276.904554718771</v>
      </c>
    </row>
    <row r="9" ht="13.95" customHeight="1">
      <c r="A9" s="11"/>
      <c r="B9" s="98" t="s">
        <v>368</v>
      </c>
      <c r="C9" s="102"/>
      <c r="D9" s="17"/>
    </row>
    <row r="10" ht="13.95" customHeight="1">
      <c r="A10" s="11" t="s">
        <v>19</v>
      </c>
      <c r="B10" s="104">
        <v>19009.330644787544</v>
      </c>
      <c r="C10" s="104"/>
      <c r="D10" s="11"/>
    </row>
    <row r="11" ht="13.95" customHeight="1">
      <c r="A11" s="11" t="s">
        <v>20</v>
      </c>
      <c r="B11" s="97">
        <v>1051.6374149572669</v>
      </c>
      <c r="C11" s="97"/>
      <c r="D11" s="11"/>
    </row>
    <row r="12" ht="13.95" customHeight="1">
      <c r="A12" s="11" t="s">
        <v>21</v>
      </c>
      <c r="B12" s="97">
        <v>4705.8366339206441</v>
      </c>
      <c r="C12" s="97"/>
      <c r="D12" s="11"/>
    </row>
    <row r="13" ht="13.95" customHeight="1">
      <c r="A13" s="11" t="s">
        <v>22</v>
      </c>
      <c r="B13" s="97">
        <v>217.44639641224458</v>
      </c>
      <c r="C13" s="97"/>
      <c r="D13" s="11"/>
    </row>
    <row r="14" ht="13.95" customHeight="1">
      <c r="A14" s="11" t="s">
        <v>23</v>
      </c>
      <c r="B14" s="97">
        <v>6799.0156158325026</v>
      </c>
      <c r="C14" s="97"/>
      <c r="D14" s="11"/>
    </row>
    <row r="15" ht="13.95" customHeight="1">
      <c r="A15" s="11" t="s">
        <v>370</v>
      </c>
      <c r="B15" s="97">
        <v>5156.2623826037607</v>
      </c>
      <c r="C15" s="97"/>
      <c r="D15" s="11"/>
    </row>
    <row r="16">
      <c r="A16" s="13" t="s">
        <v>24</v>
      </c>
      <c r="B16" s="103">
        <v>1079.1322010611302</v>
      </c>
      <c r="C16" s="103"/>
      <c r="D16" s="13"/>
    </row>
    <row r="30">
      <c r="C30" s="18"/>
    </row>
  </sheetData>
  <mergeCells>
    <mergeCell ref="B15:C15"/>
    <mergeCell ref="B16:C16"/>
    <mergeCell ref="B9:C9"/>
    <mergeCell ref="B10:C10"/>
    <mergeCell ref="B11:C11"/>
    <mergeCell ref="B12:C12"/>
    <mergeCell ref="B13:C13"/>
    <mergeCell ref="B14:C14"/>
  </mergeCells>
  <pageMargins left="0.7" right="0.7" top="0.75" bottom="0.75" header="0.3" footer="0.3"/>
  <pageSetup paperSize="9" orientation="portrait"/>
  <headerFooter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O26"/>
  <sheetViews>
    <sheetView workbookViewId="0">
      <selection activeCell="E28" sqref="E28"/>
    </sheetView>
  </sheetViews>
  <sheetFormatPr defaultRowHeight="14.4" x14ac:dyDescent="0.3"/>
  <cols>
    <col min="1" max="1" bestFit="1" width="29.6640625" customWidth="1"/>
    <col min="2" max="2" bestFit="1" width="11.109375" customWidth="1"/>
    <col min="3" max="3" width="11.6640625" customWidth="1"/>
    <col min="4" max="4" width="1.5546875" customWidth="1"/>
  </cols>
  <sheetData>
    <row r="1">
      <c r="A1" s="11"/>
      <c r="B1" s="11"/>
      <c r="C1" s="11"/>
      <c r="D1" s="11"/>
    </row>
    <row r="2">
      <c r="A2" s="13"/>
      <c r="B2" s="14" t="s">
        <v>0</v>
      </c>
      <c r="C2" s="14" t="s">
        <v>1</v>
      </c>
      <c r="D2" s="13"/>
    </row>
    <row r="3">
      <c r="A3" s="11" t="s">
        <v>13</v>
      </c>
      <c r="B3" s="15">
        <v>61763.877006153234</v>
      </c>
      <c r="C3" s="15">
        <v>54910.021095026874</v>
      </c>
      <c r="D3" s="11"/>
    </row>
    <row r="4">
      <c r="A4" s="11" t="s">
        <v>14</v>
      </c>
      <c r="B4" s="15">
        <v>52120.874602045682</v>
      </c>
      <c r="C4" s="15">
        <v>50193.025148277811</v>
      </c>
      <c r="D4" s="11"/>
    </row>
    <row r="5">
      <c r="A5" s="11" t="s">
        <v>15</v>
      </c>
      <c r="B5" s="15">
        <v>2193.1276439686394</v>
      </c>
      <c r="C5" s="15">
        <v>921.15434973235824</v>
      </c>
      <c r="D5" s="11"/>
    </row>
    <row r="6">
      <c r="A6" s="11" t="s">
        <v>16</v>
      </c>
      <c r="B6" s="15">
        <v>12329.230549384436</v>
      </c>
      <c r="C6" s="15">
        <v>6601.9914925632975</v>
      </c>
      <c r="D6" s="11"/>
    </row>
    <row r="7">
      <c r="A7" s="11" t="s">
        <v>369</v>
      </c>
      <c r="B7" s="15">
        <v>0</v>
      </c>
      <c r="C7" s="15">
        <v>5156.2623826037607</v>
      </c>
      <c r="D7" s="11"/>
    </row>
    <row r="8">
      <c r="A8" s="16" t="s">
        <v>17</v>
      </c>
      <c r="B8" s="14">
        <v>76286.2351995063</v>
      </c>
      <c r="C8" s="14">
        <v>57276.904554718763</v>
      </c>
      <c r="D8" s="16"/>
    </row>
    <row r="9">
      <c r="A9" s="11"/>
      <c r="B9" s="98" t="s">
        <v>368</v>
      </c>
      <c r="C9" s="102"/>
      <c r="D9" s="31"/>
    </row>
    <row r="10">
      <c r="A10" s="11" t="s">
        <v>19</v>
      </c>
      <c r="B10" s="104">
        <v>19009.330644787544</v>
      </c>
      <c r="C10" s="104"/>
      <c r="D10" s="11"/>
    </row>
    <row r="11">
      <c r="A11" s="11" t="s">
        <v>20</v>
      </c>
      <c r="B11" s="97">
        <v>4062.0550407050405</v>
      </c>
      <c r="C11" s="97"/>
      <c r="D11" s="11"/>
    </row>
    <row r="12">
      <c r="A12" s="11" t="s">
        <v>21</v>
      </c>
      <c r="B12" s="97">
        <v>2899.8860588511147</v>
      </c>
      <c r="C12" s="97"/>
      <c r="D12" s="11"/>
    </row>
    <row r="13">
      <c r="A13" s="11" t="s">
        <v>22</v>
      </c>
      <c r="B13" s="97">
        <v>892.09299124168729</v>
      </c>
      <c r="C13" s="97"/>
      <c r="D13" s="11"/>
    </row>
    <row r="14">
      <c r="A14" s="11" t="s">
        <v>23</v>
      </c>
      <c r="B14" s="97"/>
      <c r="C14" s="97"/>
      <c r="D14" s="11"/>
    </row>
    <row r="15">
      <c r="A15" s="11" t="s">
        <v>370</v>
      </c>
      <c r="B15" s="97">
        <v>5156.2623826037607</v>
      </c>
      <c r="C15" s="97"/>
      <c r="D15" s="11"/>
    </row>
    <row r="16">
      <c r="A16" s="13" t="s">
        <v>24</v>
      </c>
      <c r="B16" s="103"/>
      <c r="C16" s="103"/>
      <c r="D16" s="13"/>
      <c r="E16" s="12">
        <f>'01000b'!B25 + '01000c'!B25 + '01000d'!B25 + '020000'!B25 + '030000'!B25 + '060000a'!B25 + '060000b'!B25 + '080090'!B25 + '100010a'!B25 + '100010b'!B25 + '100010c'!B25 + '100020'!B25 + '100030'!B25 + '100040'!B25 + '100050'!B25 + '11200'!B25 + Industri!B25 + '160000'!B25 + '200010'!B25 + '200020'!B25 + '210000'!B25 + '220000'!B25 + '230010'!B25 + '230020'!B25 + '240000'!B25 + '250000'!B25 + '280010'!B25 + '280020'!B25 + '190000a'!B25 + '190000b'!B25 + '350010a'!B26 + '350010b'!B25 + '350020a'!B25 + '350020b'!B25 + '350030a'!B25 + '350030b'!B25 + '36700'!B25 + '383900old'!B14 + '45000'!B25 + '470000'!B25 + '490012'!B25 + '490030a'!B25 + '50000a'!B25 + '51000a'!B25 + '52000'!B25 + '550000'!B25 + '560000'!B25 + '410009'!B25 + '420000'!B25 + '43000'!B25 + '460000'!B25 + '490030b'!B25 + '51000b'!B25 + '53000'!B25 + '79000'!B25 + '50000b'!B25 + Tjenester!B25 + Boliger!B25 + Offentlig!B25</f>
        <v>618.37198407812355</v>
      </c>
      <c r="F16" s="12">
        <f>'01000b'!B25 + '01000c'!B25 + '01000d'!B25 + '020000'!B25 + '030000'!B25 + '060000a'!B25 + '060000b'!B25 + '080090'!B25 + '100010a'!B25 + '100010b'!B25 + '100010c'!B25 + '100020'!B25 + '100030'!B25 + '100040'!B25 + '100050'!B25 + '11200'!B25 + Industri!B25 + '160000'!B25 + '200010'!B25 + '200020'!B25 + '210000'!B25 + '220000'!B25 + '230010'!B25 + '230020'!B25 + '240000'!B25 + '250000'!B25 + '280010'!B25 + '280020'!B25 + '190000a'!B25 + '190000b'!B25 + '350010a'!B26 + '350010b'!B25 + '350020a'!B25 + '350020b'!B25 + '350030a'!B25 + '350030b'!B25 + '36700'!B25 + '383900old'!B14 + '45000'!B25 + '470000'!B25 + '490012'!B25 + '490030a'!B25 + '50000a'!B25 + '51000a'!B25 + '52000'!B25 + '550000'!B25 + '560000'!B25 + '410009'!B25 + '420000'!B25 + '43000'!B25 + '460000'!B25 + '490030b'!B25 + '51000b'!B25 + '53000'!B25 + '79000'!B25 + '50000b'!B25 + Tjenester!B25 + Boliger!B25 + Offentlig!B25</f>
        <v>618.37198407812355</v>
      </c>
      <c r="G16" s="12">
        <f>'01000b'!B25 + '01000c'!B25 + '01000d'!B25 + '020000'!B25 + '030000'!B25 + '060000a'!B25 + '060000b'!B25 + '080090'!B25 + '100010a'!B25 + '100010b'!B25 + '100010c'!B25 + '100020'!B25 + '100030'!B25 + '100040'!B25 + '100050'!B25 + '11200'!B25 + Industri!B25 + '160000'!B25 + '200010'!B25 + '200020'!B25 + '210000'!B25 + '220000'!B25 + '230010'!B25 + '230020'!B25 + '240000'!B25 + '250000'!B25 + '280010'!B25 + '280020'!B25 + '190000a'!B25 + '190000b'!B25 + '350010a'!B26 + '350010b'!B25 + '350020a'!B25 + '350020b'!B25 + '350030a'!B25 + '350030b'!B25 + '36700'!B25 + '383900old'!B14 + '45000'!B25 + '470000'!B25 + '490012'!B25 + '490030a'!B25 + '50000a'!B25 + '51000a'!B25 + '52000'!B25 + '550000'!B25 + '560000'!B25 + '410009'!B25 + '420000'!B25 + '43000'!B25 + '460000'!B25 + '490030b'!B25 + '51000b'!B25 + '53000'!B25 + '79000'!B25 + '50000b'!B25 + Tjenester!B25 + Boliger!B25 + Offentlig!B25</f>
        <v>618.37198407812355</v>
      </c>
      <c r="O16" s="0">
        <v>49004.669262468444</v>
      </c>
    </row>
    <row r="17">
      <c r="O17" s="0">
        <v>14187.915831632789</v>
      </c>
    </row>
    <row r="18">
      <c r="O18" s="0">
        <v>3325.6414850096494</v>
      </c>
    </row>
    <row r="19">
      <c r="F19" s="12">
        <f>Offentlig!B25+Boliger!B25+'79000'!B25</f>
        <v>0.20883310501727309</v>
      </c>
      <c r="O19" s="0">
        <v>17520.563657098861</v>
      </c>
    </row>
    <row r="21">
      <c r="O21" s="0">
        <v>5003.9394577587254</v>
      </c>
    </row>
    <row r="26">
      <c r="O26" s="0">
        <f>SUM(O17:O19)+O21</f>
        <v>40038.060431500024</v>
      </c>
    </row>
  </sheetData>
  <mergeCells>
    <mergeCell ref="B15:C15"/>
    <mergeCell ref="B16:C16"/>
    <mergeCell ref="B9:C9"/>
    <mergeCell ref="B10:C10"/>
    <mergeCell ref="B11:C11"/>
    <mergeCell ref="B12:C12"/>
    <mergeCell ref="B13:C13"/>
    <mergeCell ref="B14:C14"/>
  </mergeCells>
  <pageMargins left="0.7" right="0.7" top="0.75" bottom="0.75" header="0.3" footer="0.3"/>
  <headerFooter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H33"/>
  <sheetViews>
    <sheetView zoomScaleNormal="100" workbookViewId="0">
      <selection activeCell="K24" sqref="K24"/>
    </sheetView>
  </sheetViews>
  <sheetFormatPr defaultColWidth="8.88671875" defaultRowHeight="14.4" x14ac:dyDescent="0.3"/>
  <cols>
    <col min="1" max="1" width="29.6640625" customWidth="1" style="12"/>
    <col min="2" max="3" width="15.6640625" customWidth="1" style="12"/>
    <col min="4" max="4" width="1.33203125" customWidth="1" style="12"/>
    <col min="5" max="119" width="8.88671875" customWidth="1" style="12"/>
    <col min="120" max="16384" width="8.88671875" customWidth="1" style="12"/>
  </cols>
  <sheetData>
    <row r="1" ht="10.2" customHeight="1">
      <c r="A1" s="11"/>
      <c r="B1" s="11"/>
      <c r="C1" s="11"/>
      <c r="D1" s="11"/>
    </row>
    <row r="2" ht="13.95" customHeight="1">
      <c r="A2" s="13"/>
      <c r="B2" s="14" t="s">
        <v>0</v>
      </c>
      <c r="C2" s="14" t="s">
        <v>1</v>
      </c>
      <c r="D2" s="13"/>
    </row>
    <row r="3" ht="13.95" customHeight="1">
      <c r="A3" s="11" t="s">
        <v>13</v>
      </c>
      <c r="B3" s="15">
        <v>16687.940129084727</v>
      </c>
      <c r="C3" s="15">
        <v>9877.31387281304</v>
      </c>
      <c r="D3" s="11"/>
    </row>
    <row r="4" ht="13.95" customHeight="1">
      <c r="A4" s="11" t="s">
        <v>14</v>
      </c>
      <c r="B4" s="15">
        <v>7044.9377249771751</v>
      </c>
      <c r="C4" s="15">
        <v>5160.3179260639772</v>
      </c>
      <c r="D4" s="11"/>
    </row>
    <row r="5" ht="13.95" customHeight="1">
      <c r="A5" s="11" t="s">
        <v>15</v>
      </c>
      <c r="B5" s="15">
        <v>2193.1276439686394</v>
      </c>
      <c r="C5" s="15">
        <v>921.15434973235824</v>
      </c>
      <c r="D5" s="11"/>
    </row>
    <row r="6" ht="13.95" customHeight="1">
      <c r="A6" s="11" t="s">
        <v>16</v>
      </c>
      <c r="B6" s="15">
        <v>11925.886727785686</v>
      </c>
      <c r="C6" s="15">
        <v>6203.4113067953658</v>
      </c>
      <c r="D6" s="11"/>
    </row>
    <row r="7" ht="13.95" customHeight="1">
      <c r="A7" s="11" t="s">
        <v>369</v>
      </c>
      <c r="B7" s="15">
        <v>0</v>
      </c>
      <c r="C7" s="15">
        <v>5156.2623826037607</v>
      </c>
      <c r="D7" s="11"/>
    </row>
    <row r="8" ht="13.95" customHeight="1">
      <c r="A8" s="11" t="s">
        <v>245</v>
      </c>
      <c r="B8" s="15">
        <v>6483.4767236575508</v>
      </c>
      <c r="C8" s="15">
        <v>6015.7257798197006</v>
      </c>
      <c r="D8" s="11"/>
    </row>
    <row r="9" ht="13.95" customHeight="1">
      <c r="A9" s="11" t="s">
        <v>247</v>
      </c>
      <c r="B9" s="15">
        <v>6166</v>
      </c>
      <c r="C9" s="15">
        <v>6166</v>
      </c>
      <c r="D9" s="11"/>
    </row>
    <row r="10" ht="13.95" customHeight="1">
      <c r="A10" s="13" t="s">
        <v>17</v>
      </c>
      <c r="B10" s="15">
        <v>43456.431224496606</v>
      </c>
      <c r="C10" s="15">
        <v>24027.342926556692</v>
      </c>
      <c r="D10" s="11">
        <v>1</v>
      </c>
      <c r="F10" s="12">
        <f>C3+C5+C6-C7+C8+C9</f>
        <v>24027.342926556703</v>
      </c>
      <c r="H10" s="12">
        <f>B9+B8-B7+B6+B5+B3</f>
        <v>43456.4312244966</v>
      </c>
    </row>
    <row r="11" ht="13.95" customHeight="1">
      <c r="A11" s="22"/>
      <c r="B11" s="95" t="s">
        <v>368</v>
      </c>
      <c r="C11" s="96"/>
      <c r="D11" s="21"/>
    </row>
    <row r="12" ht="13.95" customHeight="1">
      <c r="A12" s="22" t="s">
        <v>19</v>
      </c>
      <c r="B12" s="104">
        <v>19429.088297939896</v>
      </c>
      <c r="C12" s="104"/>
      <c r="D12" s="11"/>
    </row>
    <row r="13" ht="13.95" customHeight="1">
      <c r="A13" s="22" t="s">
        <v>20</v>
      </c>
      <c r="B13" s="97">
        <v>635.71719120902276</v>
      </c>
      <c r="C13" s="97"/>
      <c r="D13" s="11"/>
    </row>
    <row r="14" ht="13.95" customHeight="1">
      <c r="A14" s="22" t="s">
        <v>21</v>
      </c>
      <c r="B14" s="97">
        <v>4697.3419951904716</v>
      </c>
      <c r="C14" s="97"/>
      <c r="D14" s="11"/>
    </row>
    <row r="15" ht="13.95" customHeight="1">
      <c r="A15" s="22" t="s">
        <v>22</v>
      </c>
      <c r="B15" s="97">
        <v>1482.4612341694824</v>
      </c>
      <c r="C15" s="97"/>
      <c r="D15" s="11"/>
    </row>
    <row r="16" ht="13.95" customHeight="1">
      <c r="A16" s="22" t="s">
        <v>23</v>
      </c>
      <c r="B16" s="97">
        <v>6787.9039091728573</v>
      </c>
      <c r="C16" s="97"/>
      <c r="D16" s="11"/>
    </row>
    <row r="17" ht="13.95" customHeight="1">
      <c r="A17" s="22" t="s">
        <v>370</v>
      </c>
      <c r="B17" s="97">
        <v>5156.2623826037607</v>
      </c>
      <c r="C17" s="97"/>
      <c r="D17" s="11"/>
    </row>
    <row r="18" ht="13.95" customHeight="1">
      <c r="A18" s="22" t="s">
        <v>24</v>
      </c>
      <c r="B18" s="97">
        <v>201.65064175647058</v>
      </c>
      <c r="C18" s="97"/>
      <c r="D18" s="11"/>
    </row>
    <row r="19">
      <c r="A19" s="8" t="s">
        <v>371</v>
      </c>
      <c r="B19" s="103">
        <v>467.75094383785017</v>
      </c>
      <c r="C19" s="103"/>
      <c r="D19" s="13"/>
    </row>
    <row r="24">
      <c r="C24" s="12">
        <f>SUM(B13:C19)</f>
        <v>19429.088297939918</v>
      </c>
    </row>
    <row r="26">
      <c r="C26" s="12">
        <f>C24-B12</f>
        <v>0</v>
      </c>
    </row>
    <row r="33">
      <c r="C33" s="18"/>
    </row>
  </sheetData>
  <mergeCells>
    <mergeCell ref="B19:C19"/>
    <mergeCell ref="B17:C17"/>
    <mergeCell ref="B11:C11"/>
    <mergeCell ref="B12:C12"/>
    <mergeCell ref="B13:C13"/>
    <mergeCell ref="B14:C14"/>
    <mergeCell ref="B15:C15"/>
    <mergeCell ref="B16:C16"/>
    <mergeCell ref="B18:C18"/>
  </mergeCells>
  <pageMargins left="0.7" right="0.7" top="0.75" bottom="0.75" header="0.3" footer="0.3"/>
  <pageSetup paperSize="9" orientation="portrait"/>
  <headerFooter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G19"/>
  <sheetViews>
    <sheetView workbookViewId="0">
      <selection activeCell="G16" sqref="G16"/>
    </sheetView>
  </sheetViews>
  <sheetFormatPr defaultRowHeight="14.4" x14ac:dyDescent="0.3"/>
  <cols>
    <col min="1" max="1" bestFit="1" width="30" customWidth="1"/>
    <col min="2" max="2" bestFit="1" width="11.109375" customWidth="1"/>
    <col min="3" max="3" bestFit="1" width="11.6640625" customWidth="1"/>
    <col min="4" max="4" bestFit="1" width="1.88671875" customWidth="1"/>
  </cols>
  <sheetData>
    <row r="1">
      <c r="A1" s="11"/>
      <c r="B1" s="11"/>
      <c r="C1" s="11"/>
      <c r="D1" s="11"/>
    </row>
    <row r="2">
      <c r="A2" s="13"/>
      <c r="B2" s="14" t="s">
        <v>0</v>
      </c>
      <c r="C2" s="14" t="s">
        <v>1</v>
      </c>
      <c r="D2" s="13"/>
    </row>
    <row r="3">
      <c r="A3" s="11" t="s">
        <v>13</v>
      </c>
      <c r="B3" s="15">
        <v>21030.171455000229</v>
      </c>
      <c r="C3" s="15">
        <v>20407.5742685625</v>
      </c>
      <c r="D3" s="11"/>
    </row>
    <row r="4">
      <c r="A4" s="11" t="s">
        <v>14</v>
      </c>
      <c r="B4" s="15">
        <v>11750.993414318371</v>
      </c>
      <c r="C4" s="15">
        <v>11658.006244603806</v>
      </c>
      <c r="D4" s="11"/>
    </row>
    <row r="5">
      <c r="A5" s="11" t="s">
        <v>15</v>
      </c>
      <c r="B5" s="15">
        <v>2089.4234653239778</v>
      </c>
      <c r="C5" s="15">
        <v>1976.9234947271318</v>
      </c>
      <c r="D5" s="11"/>
    </row>
    <row r="6">
      <c r="A6" s="11" t="s">
        <v>16</v>
      </c>
      <c r="B6" s="15">
        <v>11675.532696832326</v>
      </c>
      <c r="C6" s="15">
        <v>6508.0492820238169</v>
      </c>
      <c r="D6" s="11"/>
    </row>
    <row r="7">
      <c r="A7" s="11" t="s">
        <v>372</v>
      </c>
      <c r="B7" s="15">
        <v>967.089884874492</v>
      </c>
      <c r="C7" s="15">
        <v>969.32967002895668</v>
      </c>
      <c r="D7" s="11"/>
    </row>
    <row r="8">
      <c r="A8" s="13" t="s">
        <v>373</v>
      </c>
      <c r="B8" s="15">
        <v>33828.037732282035</v>
      </c>
      <c r="C8" s="15">
        <v>27923.2173752845</v>
      </c>
      <c r="D8" s="11"/>
    </row>
    <row r="9">
      <c r="A9" s="22"/>
      <c r="B9" s="95" t="s">
        <v>368</v>
      </c>
      <c r="C9" s="96"/>
      <c r="D9" s="32"/>
      <c r="G9" s="79"/>
    </row>
    <row r="10">
      <c r="A10" s="22" t="s">
        <v>19</v>
      </c>
      <c r="B10" s="104">
        <v>5905.4894730835458</v>
      </c>
      <c r="C10" s="104"/>
      <c r="D10" s="11"/>
      <c r="F10" s="12">
        <f>SUM(B3:B6)-B4-B7</f>
        <v>33828.037732282042</v>
      </c>
      <c r="G10" s="12">
        <f>SUM(C3:C6)-C4-C7</f>
        <v>27923.21737528449</v>
      </c>
    </row>
    <row r="11">
      <c r="A11" s="22" t="s">
        <v>20</v>
      </c>
      <c r="B11" s="97">
        <v>3693.3465971919954</v>
      </c>
      <c r="C11" s="97"/>
      <c r="D11" s="11"/>
    </row>
    <row r="12">
      <c r="A12" s="22" t="s">
        <v>21</v>
      </c>
      <c r="B12" s="97">
        <v>241.66365373504954</v>
      </c>
      <c r="C12" s="97"/>
      <c r="D12" s="11"/>
      <c r="F12" s="79">
        <f>B8-C8</f>
        <v>5904.820356997534</v>
      </c>
    </row>
    <row r="13">
      <c r="A13" s="22" t="s">
        <v>22</v>
      </c>
      <c r="B13" s="97">
        <v>33.331995901287819</v>
      </c>
      <c r="C13" s="97"/>
      <c r="D13" s="11"/>
    </row>
    <row r="14">
      <c r="A14" s="22" t="s">
        <v>23</v>
      </c>
      <c r="B14" s="97">
        <v>1333.0042006988872</v>
      </c>
      <c r="C14" s="97"/>
      <c r="D14" s="11"/>
    </row>
    <row r="15">
      <c r="A15" s="22" t="s">
        <v>374</v>
      </c>
      <c r="B15" s="97">
        <v>2.2397851544646983</v>
      </c>
      <c r="C15" s="97"/>
      <c r="D15" s="11"/>
    </row>
    <row r="16">
      <c r="A16" s="22" t="s">
        <v>24</v>
      </c>
      <c r="B16" s="97">
        <v>593.96898791441845</v>
      </c>
      <c r="C16" s="97"/>
      <c r="D16" s="11"/>
    </row>
    <row r="17">
      <c r="A17" s="8" t="s">
        <v>371</v>
      </c>
      <c r="B17" s="103">
        <v>7.934252487440915</v>
      </c>
      <c r="C17" s="103"/>
      <c r="D17" s="13"/>
    </row>
    <row r="19">
      <c r="C19" s="12">
        <f>SUM(B11:C17)</f>
        <v>5905.489473083544</v>
      </c>
    </row>
  </sheetData>
  <mergeCells>
    <mergeCell ref="B15:C15"/>
    <mergeCell ref="B16:C16"/>
    <mergeCell ref="B17:C17"/>
    <mergeCell ref="B9:C9"/>
    <mergeCell ref="B10:C10"/>
    <mergeCell ref="B11:C11"/>
    <mergeCell ref="B12:C12"/>
    <mergeCell ref="B13:C13"/>
    <mergeCell ref="B14:C14"/>
  </mergeCells>
  <pageMargins left="0.7" right="0.7" top="0.75" bottom="0.75" header="0.3" footer="0.3"/>
  <headerFooter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D39"/>
  <sheetViews>
    <sheetView zoomScale="70" zoomScaleNormal="70" workbookViewId="0">
      <selection activeCell="C4" sqref="C4"/>
    </sheetView>
  </sheetViews>
  <sheetFormatPr defaultColWidth="9.109375" defaultRowHeight="14.4" x14ac:dyDescent="0.3"/>
  <cols>
    <col min="1" max="1" width="9.109375" customWidth="1" style="75"/>
    <col min="2" max="2" width="34.33203125" customWidth="1" style="75"/>
    <col min="3" max="3" width="9.109375" customWidth="1" style="75"/>
    <col min="4" max="4" width="9.109375" customWidth="1" style="75"/>
    <col min="5" max="5" width="9.109375" customWidth="1" style="75"/>
    <col min="6" max="6" width="9.109375" customWidth="1" style="75"/>
    <col min="7" max="7" width="9.109375" customWidth="1" style="75"/>
    <col min="8" max="8" width="9.109375" customWidth="1" style="75"/>
    <col min="9" max="9" width="9.109375" customWidth="1" style="75"/>
    <col min="10" max="10" bestFit="1" width="13" customWidth="1" style="75"/>
    <col min="11" max="11" width="9.109375" customWidth="1" style="75"/>
    <col min="12" max="12" width="9.109375" customWidth="1" style="75"/>
    <col min="13" max="13" width="9.109375" customWidth="1" style="75"/>
    <col min="14" max="14" width="9.109375" customWidth="1" style="75"/>
    <col min="15" max="15" width="9.109375" customWidth="1" style="75"/>
    <col min="16" max="16" width="9.109375" customWidth="1" style="75"/>
    <col min="17" max="17" width="9.109375" customWidth="1" style="75"/>
    <col min="18" max="18" width="9.109375" customWidth="1" style="75"/>
    <col min="19" max="19" width="9.109375" customWidth="1" style="75"/>
    <col min="20" max="20" width="9.109375" customWidth="1" style="75"/>
    <col min="21" max="21" width="9.109375" customWidth="1" style="75"/>
    <col min="22" max="22" width="30.109375" customWidth="1" style="75"/>
    <col min="23" max="23" width="9.109375" customWidth="1" style="75"/>
    <col min="24" max="24" width="9.109375" customWidth="1" style="75"/>
    <col min="25" max="25" width="9.109375" customWidth="1" style="75"/>
    <col min="26" max="26" width="9.109375" customWidth="1" style="75"/>
    <col min="27" max="27" width="9.109375" customWidth="1" style="75"/>
    <col min="28" max="28" width="9.109375" customWidth="1" style="75"/>
    <col min="29" max="29" width="9.109375" customWidth="1" style="75"/>
    <col min="30" max="30" width="9.109375" customWidth="1" style="75"/>
    <col min="31" max="31" width="9.109375" customWidth="1" style="75"/>
    <col min="32" max="32" width="9.109375" customWidth="1" style="75"/>
    <col min="33" max="33" width="9.109375" customWidth="1" style="75"/>
    <col min="34" max="34" width="9.109375" customWidth="1" style="75"/>
    <col min="35" max="35" width="9.109375" customWidth="1" style="75"/>
    <col min="36" max="36" width="9.109375" customWidth="1" style="75"/>
    <col min="37" max="37" width="9.109375" customWidth="1" style="75"/>
    <col min="38" max="38" width="9.109375" customWidth="1" style="75"/>
    <col min="39" max="39" width="9.109375" customWidth="1" style="75"/>
    <col min="40" max="40" width="9.109375" customWidth="1" style="75"/>
    <col min="41" max="41" width="9.109375" customWidth="1" style="75"/>
    <col min="42" max="42" width="9.109375" customWidth="1" style="75"/>
    <col min="43" max="43" width="9.109375" customWidth="1" style="75"/>
    <col min="44" max="44" width="9.109375" customWidth="1" style="75"/>
    <col min="45" max="45" width="9.109375" customWidth="1" style="75"/>
    <col min="46" max="46" width="9.109375" customWidth="1" style="75"/>
    <col min="47" max="47" width="9.109375" customWidth="1" style="75"/>
    <col min="48" max="48" width="9.109375" customWidth="1" style="75"/>
    <col min="49" max="49" width="9.109375" customWidth="1" style="75"/>
    <col min="50" max="50" width="9.109375" customWidth="1" style="75"/>
    <col min="51" max="51" width="9.109375" customWidth="1" style="75"/>
    <col min="52" max="52" width="9.109375" customWidth="1" style="75"/>
    <col min="53" max="53" width="9.109375" customWidth="1" style="75"/>
    <col min="54" max="54" width="9.109375" customWidth="1" style="75"/>
    <col min="55" max="55" width="9.109375" customWidth="1" style="75"/>
    <col min="56" max="56" width="9.109375" customWidth="1" style="75"/>
    <col min="57" max="57" width="9.109375" customWidth="1" style="75"/>
    <col min="58" max="58" width="9.109375" customWidth="1" style="75"/>
    <col min="59" max="59" width="9.109375" customWidth="1" style="75"/>
    <col min="60" max="79" width="9.109375" customWidth="1" style="75"/>
    <col min="80" max="16384" width="9.109375" customWidth="1" style="75"/>
  </cols>
  <sheetData>
    <row r="3">
      <c r="B3" s="74"/>
      <c r="C3" s="74" t="s">
        <v>375</v>
      </c>
      <c r="D3" s="74" t="s">
        <v>376</v>
      </c>
      <c r="E3" s="74" t="s">
        <v>377</v>
      </c>
      <c r="F3" s="74" t="s">
        <v>247</v>
      </c>
      <c r="G3" s="74" t="s">
        <v>27</v>
      </c>
      <c r="H3" s="74" t="s">
        <v>244</v>
      </c>
      <c r="I3" s="74" t="s">
        <v>245</v>
      </c>
      <c r="J3" s="74" t="s">
        <v>378</v>
      </c>
      <c r="K3" s="74" t="s">
        <v>378</v>
      </c>
      <c r="L3" s="74" t="s">
        <v>379</v>
      </c>
      <c r="M3" s="74" t="s">
        <v>380</v>
      </c>
      <c r="N3" s="74" t="s">
        <v>381</v>
      </c>
      <c r="O3" s="74" t="s">
        <v>382</v>
      </c>
      <c r="P3" s="74" t="s">
        <v>383</v>
      </c>
      <c r="Q3" s="74" t="s">
        <v>384</v>
      </c>
      <c r="R3" s="74" t="s">
        <v>385</v>
      </c>
      <c r="S3" s="74" t="s">
        <v>386</v>
      </c>
      <c r="T3" s="74" t="s">
        <v>387</v>
      </c>
      <c r="V3" s="74"/>
      <c r="W3" s="74" t="s">
        <v>375</v>
      </c>
      <c r="X3" s="74" t="s">
        <v>376</v>
      </c>
      <c r="Y3" s="74" t="s">
        <v>377</v>
      </c>
      <c r="Z3" s="74" t="s">
        <v>247</v>
      </c>
      <c r="AA3" s="74" t="s">
        <v>27</v>
      </c>
      <c r="AB3" s="74" t="s">
        <v>244</v>
      </c>
      <c r="AC3" s="74" t="s">
        <v>245</v>
      </c>
      <c r="AD3" s="74" t="s">
        <v>378</v>
      </c>
      <c r="AE3" s="74" t="s">
        <v>378</v>
      </c>
      <c r="AF3" s="74" t="s">
        <v>379</v>
      </c>
      <c r="AG3" s="74" t="s">
        <v>380</v>
      </c>
      <c r="AH3" s="74" t="s">
        <v>381</v>
      </c>
      <c r="AI3" s="74" t="s">
        <v>382</v>
      </c>
      <c r="AJ3" s="74" t="s">
        <v>383</v>
      </c>
      <c r="AK3" s="74" t="s">
        <v>384</v>
      </c>
      <c r="AN3" s="74"/>
      <c r="AO3" s="74" t="s">
        <v>375</v>
      </c>
      <c r="AP3" s="74" t="s">
        <v>376</v>
      </c>
      <c r="AQ3" s="74" t="s">
        <v>377</v>
      </c>
      <c r="AR3" s="74" t="s">
        <v>27</v>
      </c>
      <c r="AS3" s="74" t="s">
        <v>244</v>
      </c>
      <c r="AT3" s="74" t="s">
        <v>245</v>
      </c>
      <c r="AU3" s="74" t="s">
        <v>378</v>
      </c>
      <c r="AV3" s="74" t="s">
        <v>378</v>
      </c>
      <c r="AW3" s="74" t="s">
        <v>379</v>
      </c>
      <c r="AX3" s="74" t="s">
        <v>380</v>
      </c>
      <c r="AY3" s="74" t="s">
        <v>381</v>
      </c>
      <c r="AZ3" s="74" t="s">
        <v>382</v>
      </c>
      <c r="BA3" s="74" t="s">
        <v>383</v>
      </c>
      <c r="BB3" s="74" t="s">
        <v>384</v>
      </c>
      <c r="BC3" s="74" t="s">
        <v>385</v>
      </c>
      <c r="BD3" s="74" t="s">
        <v>386</v>
      </c>
    </row>
    <row r="4" ht="43.2">
      <c r="B4" s="76" t="s">
        <v>388</v>
      </c>
      <c r="C4" s="77">
        <f>'Total DK'!B8+F4</f>
        <v>39114.552910316808</v>
      </c>
      <c r="D4" s="78">
        <f>C4</f>
        <v>39114.552910316808</v>
      </c>
      <c r="E4" s="78"/>
      <c r="F4" s="77">
        <f>5286.51517803477</f>
        <v>5286.51517803477</v>
      </c>
      <c r="G4" s="77">
        <f>'01000a'!B18+'01000b'!B18+'01000c'!B18+'01000d'!B18</f>
        <v>11466.161204642565</v>
      </c>
      <c r="H4" s="78">
        <f>D4-G4-I4-J4-K4-F4</f>
        <v>15971.579615625389</v>
      </c>
      <c r="I4" s="77">
        <f>Husholdninger!B7</f>
        <v>6390.2969120140833</v>
      </c>
      <c r="J4" s="78"/>
      <c r="K4" s="78"/>
      <c r="L4" s="79">
        <f>C4</f>
        <v>39114.552910316808</v>
      </c>
      <c r="V4" s="76" t="s">
        <v>389</v>
      </c>
      <c r="W4" s="77">
        <f>C4</f>
        <v>39114.552910316808</v>
      </c>
      <c r="X4" s="78">
        <f>W4</f>
        <v>39114.552910316808</v>
      </c>
      <c r="Y4" s="78"/>
      <c r="Z4" s="77">
        <f>F4</f>
        <v>5286.51517803477</v>
      </c>
      <c r="AA4" s="77">
        <f>G4</f>
        <v>11466.161204642565</v>
      </c>
      <c r="AB4" s="78">
        <f>X4-AA4-AC4-AD4-AE4-Z4</f>
        <v>15971.579615625389</v>
      </c>
      <c r="AC4" s="77">
        <f>I4</f>
        <v>6390.2969120140833</v>
      </c>
      <c r="AD4" s="78"/>
      <c r="AE4" s="78"/>
      <c r="AF4" s="79">
        <f>W4</f>
        <v>39114.552910316808</v>
      </c>
      <c r="AM4" s="81" t="s">
        <v>390</v>
      </c>
      <c r="AN4" s="76" t="s">
        <v>391</v>
      </c>
      <c r="AO4" s="80">
        <f>W4</f>
        <v>39114.552910316808</v>
      </c>
      <c r="AP4" s="78">
        <f ref="AP4:AP9" t="shared" si="0">AO4</f>
        <v>39114.552910316808</v>
      </c>
      <c r="AQ4" s="78"/>
      <c r="AR4" s="78">
        <v>11000</v>
      </c>
      <c r="AS4" s="78">
        <f>AP4-AR4-AT4-AU4-AV4</f>
        <v>19914.552910316808</v>
      </c>
      <c r="AT4" s="78">
        <v>8200</v>
      </c>
      <c r="AU4" s="78"/>
      <c r="AV4" s="78"/>
      <c r="AW4" s="79">
        <f>AO4</f>
        <v>39114.552910316808</v>
      </c>
      <c r="AX4" s="79"/>
      <c r="AY4" s="79"/>
    </row>
    <row r="5" ht="43.2">
      <c r="B5" s="76" t="s">
        <v>392</v>
      </c>
      <c r="C5" s="77">
        <f>'Total DK'!B11</f>
        <v>3693.3465971919954</v>
      </c>
      <c r="D5" s="78">
        <f>C5</f>
        <v>3693.3465971919954</v>
      </c>
      <c r="E5" s="78">
        <f>E4+D4-C5</f>
        <v>35421.206313124814</v>
      </c>
      <c r="F5" s="78"/>
      <c r="G5" s="77">
        <f>'01000a'!B21+'01000b'!B21+'01000c'!B21+'01000d'!B21</f>
        <v>3676.2414949468971</v>
      </c>
      <c r="H5" s="78">
        <f ref="H5:H7" t="shared" si="1">D5-G5-I5-J5-K5</f>
        <v>17.105102245098351</v>
      </c>
      <c r="I5" s="78"/>
      <c r="J5" s="78"/>
      <c r="K5" s="78"/>
      <c r="L5" s="79">
        <f>L4</f>
        <v>39114.552910316808</v>
      </c>
      <c r="M5" s="79">
        <f>E5</f>
        <v>35421.206313124814</v>
      </c>
      <c r="V5" s="76" t="s">
        <v>393</v>
      </c>
      <c r="W5" s="77">
        <f>C5</f>
        <v>3693.3465971919954</v>
      </c>
      <c r="X5" s="78">
        <f>W5</f>
        <v>3693.3465971919954</v>
      </c>
      <c r="Y5" s="78">
        <f>Y4+X4-W5</f>
        <v>35421.206313124814</v>
      </c>
      <c r="Z5" s="78"/>
      <c r="AA5" s="77">
        <f>G5</f>
        <v>3676.2414949468971</v>
      </c>
      <c r="AB5" s="78">
        <f>H5</f>
        <v>17.105102245098351</v>
      </c>
      <c r="AC5" s="78"/>
      <c r="AD5" s="78"/>
      <c r="AE5" s="78"/>
      <c r="AF5" s="79">
        <f>AF4</f>
        <v>39114.552910316808</v>
      </c>
      <c r="AG5" s="79">
        <f>Y5</f>
        <v>35421.206313124814</v>
      </c>
      <c r="AN5" s="76" t="s">
        <v>394</v>
      </c>
      <c r="AO5" s="75">
        <v>700</v>
      </c>
      <c r="AP5" s="75">
        <f t="shared" si="0"/>
        <v>700</v>
      </c>
      <c r="AQ5" s="79">
        <f>AP4-AP5</f>
        <v>38414.552910316808</v>
      </c>
      <c r="AS5" s="78"/>
      <c r="AV5" s="75">
        <f>AP5</f>
        <v>700</v>
      </c>
      <c r="AW5" s="79">
        <f>AW4</f>
        <v>39114.552910316808</v>
      </c>
      <c r="AX5" s="79">
        <f>AQ5</f>
        <v>38414.552910316808</v>
      </c>
    </row>
    <row r="6" ht="43.2">
      <c r="B6" s="76" t="s">
        <v>395</v>
      </c>
      <c r="C6" s="77">
        <f>'Total DK'!B12</f>
        <v>241.66365373504954</v>
      </c>
      <c r="D6" s="78">
        <f>C6</f>
        <v>241.66365373504954</v>
      </c>
      <c r="E6" s="78">
        <f>E5-C6</f>
        <v>35179.542659389765</v>
      </c>
      <c r="F6" s="78"/>
      <c r="G6" s="77">
        <f>'01000a'!B22+'01000b'!B22+'01000c'!B22+'01000d'!B22</f>
        <v>245.02795305159123</v>
      </c>
      <c r="H6" s="78">
        <f t="shared" si="1"/>
        <v>-3.3642993165416897</v>
      </c>
      <c r="I6" s="78"/>
      <c r="J6" s="78"/>
      <c r="K6" s="78"/>
      <c r="M6" s="79">
        <f>M5</f>
        <v>35421.206313124814</v>
      </c>
      <c r="N6" s="79">
        <f>E6</f>
        <v>35179.542659389765</v>
      </c>
      <c r="V6" s="76" t="s">
        <v>396</v>
      </c>
      <c r="W6" s="77">
        <f>C6+C7+C8+C9-I7</f>
        <v>2201.9688382496433</v>
      </c>
      <c r="X6" s="78">
        <f>W6</f>
        <v>2201.9688382496433</v>
      </c>
      <c r="Y6" s="78">
        <f>Y5-W6</f>
        <v>33219.237474875168</v>
      </c>
      <c r="Z6" s="78"/>
      <c r="AA6" s="77">
        <f>G6+G7+G8+G9</f>
        <v>2196.630515024855</v>
      </c>
      <c r="AB6" s="78">
        <f>H6+H7+H8+H9</f>
        <v>5.2819087806731266</v>
      </c>
      <c r="AC6" s="78"/>
      <c r="AD6" s="77">
        <f>J8+J9</f>
        <v>0.056414444115099271</v>
      </c>
      <c r="AE6" s="78"/>
      <c r="AG6" s="79">
        <f>AG5</f>
        <v>35421.206313124814</v>
      </c>
      <c r="AH6" s="79">
        <f>Y6</f>
        <v>33219.237474875168</v>
      </c>
      <c r="AN6" s="76" t="s">
        <v>397</v>
      </c>
      <c r="AO6" s="79">
        <f>AO4-AO5</f>
        <v>38414.552910316808</v>
      </c>
      <c r="AP6" s="79">
        <f t="shared" si="0"/>
        <v>38414.552910316808</v>
      </c>
      <c r="AS6" s="78">
        <f>AP6-AR6-AT6-AU6-AV6</f>
        <v>38414.552910316808</v>
      </c>
      <c r="AX6" s="79">
        <f>AX5</f>
        <v>38414.552910316808</v>
      </c>
      <c r="AY6" s="79">
        <f>AX6</f>
        <v>38414.552910316808</v>
      </c>
    </row>
    <row r="7" ht="43.2">
      <c r="B7" s="82" t="s">
        <v>398</v>
      </c>
      <c r="C7" s="77">
        <f>'Total DK'!B13+Husholdninger!B4-Husholdninger!C4</f>
        <v>41.668926392437243</v>
      </c>
      <c r="D7" s="78">
        <f>C7</f>
        <v>41.668926392437243</v>
      </c>
      <c r="E7" s="78">
        <f>E6-C7</f>
        <v>35137.87373299733</v>
      </c>
      <c r="F7" s="78"/>
      <c r="G7" s="77">
        <f>'01000a'!B23+'01000b'!B23+'01000c'!B23+'01000d'!B23</f>
        <v>34.617809109871459</v>
      </c>
      <c r="H7" s="78">
        <f t="shared" si="1"/>
        <v>-1.2858132085835763</v>
      </c>
      <c r="I7" s="77">
        <f>Husholdninger!B4-Husholdninger!C4</f>
        <v>8.33693049114936</v>
      </c>
      <c r="J7" s="78"/>
      <c r="K7" s="78"/>
      <c r="N7" s="79">
        <f>N6</f>
        <v>35179.542659389765</v>
      </c>
      <c r="O7" s="79">
        <f>E7</f>
        <v>35137.87373299733</v>
      </c>
      <c r="V7" s="76" t="s">
        <v>399</v>
      </c>
      <c r="W7" s="77">
        <f>C10+I7</f>
        <v>7.934252487440915</v>
      </c>
      <c r="X7" s="78">
        <f>W7</f>
        <v>7.934252487440915</v>
      </c>
      <c r="Y7" s="78">
        <f>Y6-W7</f>
        <v>33211.303222387731</v>
      </c>
      <c r="Z7" s="78"/>
      <c r="AA7" s="78"/>
      <c r="AB7" s="78"/>
      <c r="AC7" s="77">
        <f>I10+I7</f>
        <v>7.934252487440915</v>
      </c>
      <c r="AD7" s="78"/>
      <c r="AE7" s="78"/>
      <c r="AH7" s="79">
        <f>AH6</f>
        <v>33219.237474875168</v>
      </c>
      <c r="AI7" s="79">
        <f>Y7</f>
        <v>33211.303222387731</v>
      </c>
      <c r="AM7" s="81"/>
      <c r="AN7" s="76" t="s">
        <v>392</v>
      </c>
      <c r="AO7" s="80">
        <f>W5</f>
        <v>3693.3465971919954</v>
      </c>
      <c r="AP7" s="78">
        <f t="shared" si="0"/>
        <v>3693.3465971919954</v>
      </c>
      <c r="AQ7" s="78">
        <f>AQ6+AP6-AO7</f>
        <v>34721.206313124814</v>
      </c>
      <c r="AR7" s="78">
        <f>AA5</f>
        <v>3676.2414949468971</v>
      </c>
      <c r="AS7" s="78">
        <f>AP7-AR7-AT7-AU7-AV7</f>
        <v>17.105102245098351</v>
      </c>
      <c r="AT7" s="78"/>
      <c r="AU7" s="78"/>
      <c r="AV7" s="78"/>
      <c r="AW7" s="79">
        <f>AW4</f>
        <v>39114.552910316808</v>
      </c>
      <c r="AX7" s="79"/>
      <c r="AY7" s="79">
        <f>AY6</f>
        <v>38414.552910316808</v>
      </c>
      <c r="AZ7" s="79">
        <f>AQ7</f>
        <v>34721.206313124814</v>
      </c>
    </row>
    <row r="8" ht="43.2">
      <c r="B8" s="76" t="s">
        <v>400</v>
      </c>
      <c r="C8" s="77">
        <f>'Total DK'!B14</f>
        <v>1333.0042006988872</v>
      </c>
      <c r="D8" s="78">
        <f>C8</f>
        <v>1333.0042006988872</v>
      </c>
      <c r="E8" s="78">
        <f>E7-C8</f>
        <v>33804.869532298442</v>
      </c>
      <c r="F8" s="78"/>
      <c r="G8" s="77">
        <f>'01000a'!B24+'01000b'!B24+'01000c'!B24+'01000d'!B24</f>
        <v>1332.8500582302122</v>
      </c>
      <c r="H8" s="78">
        <f>D8-G8-I8-J8-K8</f>
        <v>0.097728024559891324</v>
      </c>
      <c r="I8" s="78"/>
      <c r="J8" s="77">
        <f>'230020'!B24</f>
        <v>0.056414444115099271</v>
      </c>
      <c r="K8" s="78"/>
      <c r="O8" s="79">
        <f>O7</f>
        <v>35137.87373299733</v>
      </c>
      <c r="P8" s="79">
        <f>E8</f>
        <v>33804.869532298442</v>
      </c>
      <c r="V8" s="76" t="s">
        <v>391</v>
      </c>
      <c r="W8" s="77">
        <f>W4-SUM(W5:W7)</f>
        <v>33211.303222387731</v>
      </c>
      <c r="X8" s="78">
        <f>X4-SUM(X5:X7)</f>
        <v>33211.303222387731</v>
      </c>
      <c r="Y8" s="78"/>
      <c r="Z8" s="78">
        <f>Z4</f>
        <v>5286.51517803477</v>
      </c>
      <c r="AA8" s="78">
        <f>AA4-SUM(AA5:AA7)</f>
        <v>5593.2891946708132</v>
      </c>
      <c r="AB8" s="78">
        <f>X8-AA8-AC8-AD8-AE8-Z8</f>
        <v>15949.136190155507</v>
      </c>
      <c r="AC8" s="78">
        <f>AC4-SUM(AC5:AC7)</f>
        <v>6382.3626595266423</v>
      </c>
      <c r="AD8" s="78"/>
      <c r="AE8" s="78"/>
      <c r="AI8" s="79">
        <f>AI7</f>
        <v>33211.303222387731</v>
      </c>
      <c r="AJ8" s="79">
        <f>AI7</f>
        <v>33211.303222387731</v>
      </c>
      <c r="AM8" s="81"/>
      <c r="AN8" s="76" t="s">
        <v>396</v>
      </c>
      <c r="AO8" s="80">
        <f>W6</f>
        <v>2201.9688382496433</v>
      </c>
      <c r="AP8" s="78">
        <f t="shared" si="0"/>
        <v>2201.9688382496433</v>
      </c>
      <c r="AQ8" s="78">
        <f>AQ7-AO8</f>
        <v>32519.237474875172</v>
      </c>
      <c r="AR8" s="78">
        <f>AA6</f>
        <v>2196.630515024855</v>
      </c>
      <c r="AS8" s="78">
        <f>AP8-AR8-AT8-AU8-AV8</f>
        <v>5.281908780673283</v>
      </c>
      <c r="AT8" s="78"/>
      <c r="AU8" s="78">
        <f>AD6</f>
        <v>0.056414444115099271</v>
      </c>
      <c r="AV8" s="78"/>
      <c r="AZ8" s="79">
        <f>AZ7</f>
        <v>34721.206313124814</v>
      </c>
      <c r="BA8" s="79">
        <f>AQ8</f>
        <v>32519.237474875172</v>
      </c>
    </row>
    <row r="9" ht="57.6">
      <c r="B9" s="76" t="s">
        <v>401</v>
      </c>
      <c r="C9" s="77">
        <f>'Total DK'!B16</f>
        <v>593.96898791441845</v>
      </c>
      <c r="D9" s="78">
        <f ref="D9:D10" t="shared" si="2">C9</f>
        <v>593.96898791441845</v>
      </c>
      <c r="E9" s="78">
        <f>E8-C9</f>
        <v>33210.900544384021</v>
      </c>
      <c r="F9" s="78"/>
      <c r="G9" s="77">
        <f>'01000a'!B25+'01000b'!B25+'01000c'!B25+'01000d'!B25</f>
        <v>584.13469463318</v>
      </c>
      <c r="H9" s="78">
        <f>D9-G9-I9-J9-K9</f>
        <v>9.8342932812385015</v>
      </c>
      <c r="I9" s="78"/>
      <c r="J9" s="77">
        <f>'383900'!B26*(1-'383900'!E27)/'383900'!E27+'230020'!C28*(1-'230020'!C27)</f>
        <v>0</v>
      </c>
      <c r="K9" s="78"/>
      <c r="P9" s="79">
        <f>P8</f>
        <v>33804.869532298442</v>
      </c>
      <c r="Q9" s="79">
        <f>E9</f>
        <v>33210.900544384021</v>
      </c>
      <c r="V9" s="76" t="s">
        <v>394</v>
      </c>
      <c r="W9" s="77">
        <f>C12</f>
        <v>2.2397851544646983</v>
      </c>
      <c r="X9" s="78">
        <f>W9</f>
        <v>2.2397851544646983</v>
      </c>
      <c r="Y9" s="78">
        <f>Y7-W9</f>
        <v>33209.063437233264</v>
      </c>
      <c r="Z9" s="78"/>
      <c r="AA9" s="78"/>
      <c r="AB9" s="78"/>
      <c r="AC9" s="78"/>
      <c r="AD9" s="78"/>
      <c r="AE9" s="78">
        <f>W9</f>
        <v>2.2397851544646983</v>
      </c>
      <c r="AJ9" s="79">
        <f>AI8</f>
        <v>33211.303222387731</v>
      </c>
      <c r="AK9" s="79">
        <f>X10</f>
        <v>33209.063437233264</v>
      </c>
      <c r="AM9" s="81"/>
      <c r="AN9" s="76" t="s">
        <v>399</v>
      </c>
      <c r="AO9" s="80">
        <f>W7</f>
        <v>7.934252487440915</v>
      </c>
      <c r="AP9" s="78">
        <f t="shared" si="0"/>
        <v>7.934252487440915</v>
      </c>
      <c r="AQ9" s="78">
        <f>AQ8-AO9</f>
        <v>32511.303222387731</v>
      </c>
      <c r="AR9" s="78"/>
      <c r="AS9" s="78"/>
      <c r="AT9" s="78">
        <f>AC7</f>
        <v>7.934252487440915</v>
      </c>
      <c r="AU9" s="78"/>
      <c r="AV9" s="78"/>
      <c r="BA9" s="79">
        <f>BA8</f>
        <v>32519.237474875172</v>
      </c>
      <c r="BB9" s="79">
        <f>AQ9</f>
        <v>32511.303222387731</v>
      </c>
    </row>
    <row r="10" ht="43.2">
      <c r="B10" s="76" t="s">
        <v>402</v>
      </c>
      <c r="C10" s="77">
        <f>'Total DK'!B17-I7</f>
        <v>-0.402678003708445</v>
      </c>
      <c r="D10" s="78">
        <f t="shared" si="2"/>
        <v>-0.402678003708445</v>
      </c>
      <c r="E10" s="78">
        <f>E9-C10</f>
        <v>33211.303222387731</v>
      </c>
      <c r="F10" s="78"/>
      <c r="G10" s="78"/>
      <c r="H10" s="78"/>
      <c r="I10" s="78">
        <f>D10</f>
        <v>-0.402678003708445</v>
      </c>
      <c r="J10" s="78"/>
      <c r="K10" s="78"/>
      <c r="Q10" s="79">
        <f>Q9</f>
        <v>33210.900544384021</v>
      </c>
      <c r="R10" s="79">
        <f>E10</f>
        <v>33211.303222387731</v>
      </c>
      <c r="V10" s="76" t="s">
        <v>397</v>
      </c>
      <c r="W10" s="77">
        <f>W8-W9</f>
        <v>33209.063437233264</v>
      </c>
      <c r="X10" s="78">
        <f>X8-X9</f>
        <v>33209.063437233264</v>
      </c>
      <c r="Y10" s="78"/>
      <c r="Z10" s="78"/>
      <c r="AA10" s="78"/>
      <c r="AB10" s="78">
        <f>X10-Z10</f>
        <v>33209.063437233264</v>
      </c>
      <c r="AC10" s="78"/>
      <c r="AD10" s="78"/>
      <c r="AE10" s="78"/>
      <c r="AK10" s="79">
        <f>AK9</f>
        <v>33209.063437233264</v>
      </c>
      <c r="AM10" s="81" t="s">
        <v>403</v>
      </c>
      <c r="AN10" s="76" t="s">
        <v>391</v>
      </c>
      <c r="AO10" s="80">
        <f>AO6-SUM(AO7:AO9)</f>
        <v>32511.303222387731</v>
      </c>
      <c r="AP10" s="78">
        <f>AP6-SUM(AP7:AP9)</f>
        <v>32511.303222387731</v>
      </c>
      <c r="AQ10" s="78"/>
      <c r="AR10" s="78">
        <f>AR4-SUM(AR7:AR9)</f>
        <v>5127.127990028248</v>
      </c>
      <c r="AS10" s="78">
        <f>AP10-AR10-AT10-AU10-AV10</f>
        <v>19192.109484846926</v>
      </c>
      <c r="AT10" s="78">
        <f>AT4-SUM(AT7:AT9)</f>
        <v>8192.065747512559</v>
      </c>
      <c r="AU10" s="78"/>
      <c r="AV10" s="78"/>
      <c r="BB10" s="79">
        <f>BB9</f>
        <v>32511.303222387731</v>
      </c>
      <c r="BC10" s="79">
        <f>BB9</f>
        <v>32511.303222387731</v>
      </c>
    </row>
    <row r="11" ht="43.2">
      <c r="B11" s="76" t="s">
        <v>391</v>
      </c>
      <c r="C11" s="77">
        <f>C4-SUM(C5:C10)</f>
        <v>33211.303222387731</v>
      </c>
      <c r="D11" s="78">
        <f>D4-SUM(D5:D10)</f>
        <v>33211.303222387731</v>
      </c>
      <c r="E11" s="78"/>
      <c r="F11" s="78">
        <f>F4</f>
        <v>5286.51517803477</v>
      </c>
      <c r="G11" s="78">
        <f ref="G11:I11" t="shared" si="3">G4-SUM(G5:G10)</f>
        <v>5593.2891946708132</v>
      </c>
      <c r="H11" s="78">
        <f>D11-G11-I11-J11-K11-F11</f>
        <v>15949.136190155507</v>
      </c>
      <c r="I11" s="78">
        <f t="shared" si="3"/>
        <v>6382.3626595266423</v>
      </c>
      <c r="J11" s="78"/>
      <c r="K11" s="78"/>
      <c r="R11" s="79">
        <f>R10</f>
        <v>33211.303222387731</v>
      </c>
      <c r="S11" s="79">
        <f>R10</f>
        <v>33211.303222387731</v>
      </c>
      <c r="AN11" s="76" t="s">
        <v>394</v>
      </c>
      <c r="AO11" s="80">
        <f>W9</f>
        <v>2.2397851544646983</v>
      </c>
      <c r="AP11" s="78">
        <f>AO11</f>
        <v>2.2397851544646983</v>
      </c>
      <c r="AQ11" s="78">
        <f>AQ9-AO11</f>
        <v>32509.063437233264</v>
      </c>
      <c r="AR11" s="78"/>
      <c r="AS11" s="78"/>
      <c r="AT11" s="78"/>
      <c r="AU11" s="78"/>
      <c r="AV11" s="78">
        <f>AO11</f>
        <v>2.2397851544646983</v>
      </c>
      <c r="BC11" s="79">
        <f>BB10</f>
        <v>32511.303222387731</v>
      </c>
      <c r="BD11" s="79">
        <f>AS12</f>
        <v>32509.063437233264</v>
      </c>
    </row>
    <row r="12" ht="43.2">
      <c r="B12" s="76" t="s">
        <v>394</v>
      </c>
      <c r="C12" s="77">
        <f>'Total DK'!B15</f>
        <v>2.2397851544646983</v>
      </c>
      <c r="D12" s="78">
        <f>C12</f>
        <v>2.2397851544646983</v>
      </c>
      <c r="E12" s="78">
        <f>E10-C12</f>
        <v>33209.063437233264</v>
      </c>
      <c r="F12" s="78"/>
      <c r="G12" s="78"/>
      <c r="H12" s="78"/>
      <c r="I12" s="78"/>
      <c r="J12" s="78"/>
      <c r="K12" s="78">
        <f>C12</f>
        <v>2.2397851544646983</v>
      </c>
      <c r="S12" s="79">
        <f>R11</f>
        <v>33211.303222387731</v>
      </c>
      <c r="T12" s="79">
        <f>D13</f>
        <v>33209.063437233264</v>
      </c>
      <c r="AN12" s="76" t="s">
        <v>397</v>
      </c>
      <c r="AO12" s="80">
        <f>AO10-AO11</f>
        <v>32509.063437233264</v>
      </c>
      <c r="AP12" s="78">
        <f>AP10-AP11</f>
        <v>32509.063437233264</v>
      </c>
      <c r="AQ12" s="78"/>
      <c r="AR12" s="78"/>
      <c r="AS12" s="78">
        <f>AP12</f>
        <v>32509.063437233264</v>
      </c>
      <c r="AT12" s="78"/>
      <c r="AU12" s="78"/>
      <c r="AV12" s="78"/>
      <c r="BD12" s="79">
        <f>BD11</f>
        <v>32509.063437233264</v>
      </c>
    </row>
    <row r="13" ht="28.8">
      <c r="B13" s="76" t="s">
        <v>397</v>
      </c>
      <c r="C13" s="77">
        <f>C11-C12</f>
        <v>33209.063437233264</v>
      </c>
      <c r="D13" s="78">
        <f>D11-D12</f>
        <v>33209.063437233264</v>
      </c>
      <c r="E13" s="78"/>
      <c r="F13" s="78"/>
      <c r="G13" s="78"/>
      <c r="H13" s="78">
        <f>D13-F13</f>
        <v>33209.063437233264</v>
      </c>
      <c r="I13" s="78"/>
      <c r="J13" s="78"/>
      <c r="K13" s="78"/>
      <c r="T13" s="79">
        <f>T12</f>
        <v>33209.063437233264</v>
      </c>
    </row>
    <row r="14">
      <c r="AA14" s="79"/>
      <c r="AE14" s="79">
        <f>AE9+AD6</f>
        <v>2.2961995985797974</v>
      </c>
    </row>
    <row r="16">
      <c r="Z16" s="79">
        <f>W4-Z4</f>
        <v>33828.037732282042</v>
      </c>
    </row>
    <row r="17">
      <c r="K17" s="83"/>
      <c r="L17" s="84"/>
      <c r="M17" s="79"/>
    </row>
    <row r="18">
      <c r="K18" s="83"/>
      <c r="L18" s="84"/>
    </row>
    <row r="19">
      <c r="K19" s="83"/>
      <c r="AB19" s="85"/>
    </row>
    <row r="20">
      <c r="K20" s="86"/>
    </row>
    <row r="24">
      <c r="B24" s="75" t="s">
        <v>404</v>
      </c>
    </row>
    <row r="39">
      <c r="V39" s="88"/>
    </row>
  </sheetData>
  <pageMargins left="0.7" right="0.7" top="0.75" bottom="0.75" header="0.3" footer="0.3"/>
  <pageSetup paperSize="9" orientation="portrait"/>
  <headerFooter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6"/>
  <sheetViews>
    <sheetView workbookViewId="0">
      <selection activeCell="E23" sqref="E23"/>
    </sheetView>
  </sheetViews>
  <sheetFormatPr defaultRowHeight="14.4" x14ac:dyDescent="0.3"/>
  <cols>
    <col min="1" max="1" bestFit="1" width="37" customWidth="1"/>
    <col min="3" max="3" bestFit="1" width="2.6640625" customWidth="1"/>
    <col min="4" max="4" bestFit="1" width="11.6640625" customWidth="1"/>
  </cols>
  <sheetData>
    <row r="1">
      <c r="A1" s="13"/>
      <c r="B1" s="14" t="s">
        <v>236</v>
      </c>
    </row>
    <row r="2">
      <c r="A2" s="41" t="s">
        <v>405</v>
      </c>
      <c r="B2" s="42">
        <v>171.6</v>
      </c>
    </row>
    <row r="3">
      <c r="A3" s="13" t="s">
        <v>406</v>
      </c>
      <c r="B3" s="46">
        <v>5.8979037126627478</v>
      </c>
    </row>
    <row r="4">
      <c r="A4" s="41" t="s">
        <v>407</v>
      </c>
      <c r="B4" s="43">
        <v>-3.424525096060961</v>
      </c>
      <c r="D4" s="50">
        <f>B26+B27+B28</f>
        <v>-3.4245250960607336</v>
      </c>
    </row>
    <row r="5">
      <c r="A5" s="41" t="s">
        <v>408</v>
      </c>
      <c r="B5" s="43">
        <v>1.8864479370384006</v>
      </c>
    </row>
    <row r="6">
      <c r="A6" s="13" t="s">
        <v>409</v>
      </c>
      <c r="B6" s="46">
        <v>0.54382288782136357</v>
      </c>
    </row>
    <row r="7">
      <c r="A7" s="13" t="s">
        <v>410</v>
      </c>
      <c r="B7" s="51">
        <v>-0.9942542712011968</v>
      </c>
    </row>
    <row r="8">
      <c r="A8" s="41" t="s">
        <v>411</v>
      </c>
      <c r="B8" s="43">
        <v>1.1373000752502913</v>
      </c>
    </row>
    <row r="9">
      <c r="A9" s="13" t="s">
        <v>412</v>
      </c>
      <c r="B9" s="46">
        <v>1.089</v>
      </c>
    </row>
    <row r="10" s="82" customFormat="1">
      <c r="A10" s="41" t="s">
        <v>413</v>
      </c>
      <c r="B10" s="43">
        <v>1.2320458040490945</v>
      </c>
    </row>
    <row r="11">
      <c r="A11" s="13" t="s">
        <v>414</v>
      </c>
      <c r="B11" s="46">
        <v>0.049879849811898448</v>
      </c>
    </row>
    <row r="12">
      <c r="A12" s="41" t="s">
        <v>415</v>
      </c>
      <c r="B12" s="43">
        <v>-2.6225941916350166</v>
      </c>
      <c r="C12" s="45"/>
    </row>
    <row r="13">
      <c r="A13" s="41" t="s">
        <v>416</v>
      </c>
      <c r="B13" s="43">
        <v>-0.12191080703399804</v>
      </c>
      <c r="C13" s="45"/>
    </row>
    <row r="14">
      <c r="A14" s="41" t="s">
        <v>417</v>
      </c>
      <c r="B14" s="43">
        <v>-1.559409709815327</v>
      </c>
      <c r="C14" s="45"/>
    </row>
    <row r="15">
      <c r="A15" s="41" t="s">
        <v>418</v>
      </c>
      <c r="B15" s="43">
        <v>-0.12867382965444651</v>
      </c>
      <c r="C15" s="45"/>
    </row>
    <row r="16">
      <c r="A16" s="41" t="s">
        <v>419</v>
      </c>
      <c r="B16" s="43">
        <v>6.8347318512720978</v>
      </c>
      <c r="C16" s="45"/>
    </row>
    <row r="17">
      <c r="A17" s="13" t="s">
        <v>420</v>
      </c>
      <c r="B17" s="46">
        <v>0</v>
      </c>
    </row>
    <row r="18">
      <c r="A18" s="41" t="s">
        <v>421</v>
      </c>
      <c r="B18" s="44">
        <v>-0.0015802147494202723</v>
      </c>
    </row>
    <row r="19">
      <c r="A19" s="41" t="s">
        <v>422</v>
      </c>
      <c r="B19" s="44">
        <v>-0.0086203225826435581</v>
      </c>
    </row>
    <row r="20">
      <c r="A20" s="41" t="s">
        <v>423</v>
      </c>
      <c r="B20" s="44">
        <v>-0.0070512503229855916</v>
      </c>
    </row>
    <row r="21">
      <c r="A21" s="13" t="s">
        <v>424</v>
      </c>
      <c r="B21" s="52">
        <v>-0.00070737248135011033</v>
      </c>
    </row>
    <row r="22">
      <c r="A22" s="41" t="s">
        <v>425</v>
      </c>
      <c r="B22" s="43">
        <v>-48.885413931031508</v>
      </c>
    </row>
    <row r="23">
      <c r="A23" s="41" t="s">
        <v>426</v>
      </c>
      <c r="B23" s="43">
        <v>-0.40019423561609146</v>
      </c>
    </row>
    <row r="24">
      <c r="A24" s="41" t="s">
        <v>427</v>
      </c>
      <c r="B24" s="43">
        <v>-51.124028449887192</v>
      </c>
    </row>
    <row r="25">
      <c r="A25" s="41" t="s">
        <v>428</v>
      </c>
      <c r="B25" s="43">
        <v>-0.47150523054725335</v>
      </c>
    </row>
    <row r="26">
      <c r="A26" s="41" t="s">
        <v>429</v>
      </c>
      <c r="B26" s="43">
        <v>-7.1917594656679285</v>
      </c>
    </row>
    <row r="27">
      <c r="A27" s="41" t="s">
        <v>430</v>
      </c>
      <c r="B27" s="43">
        <v>4.3787029963016266</v>
      </c>
    </row>
    <row r="28">
      <c r="A28" s="13" t="s">
        <v>431</v>
      </c>
      <c r="B28" s="46">
        <v>-0.6114686266944318</v>
      </c>
    </row>
    <row r="29">
      <c r="A29" s="41" t="s">
        <v>432</v>
      </c>
      <c r="B29" s="43">
        <v>-0.54061750320585134</v>
      </c>
    </row>
    <row r="30">
      <c r="A30" s="41" t="s">
        <v>433</v>
      </c>
      <c r="B30" s="43">
        <v>-6.6868967394457286</v>
      </c>
    </row>
    <row r="31">
      <c r="A31" s="41" t="s">
        <v>434</v>
      </c>
      <c r="B31" s="43">
        <v>-7.4384122411238422</v>
      </c>
    </row>
    <row r="32">
      <c r="A32" s="13" t="s">
        <v>435</v>
      </c>
      <c r="B32" s="46">
        <v>-6.1423005035721872</v>
      </c>
      <c r="C32" s="69"/>
      <c r="D32" s="69"/>
    </row>
    <row r="33">
      <c r="A33" s="13" t="s">
        <v>436</v>
      </c>
      <c r="B33" s="46"/>
      <c r="C33" s="69"/>
      <c r="D33" s="69"/>
    </row>
    <row r="34">
      <c r="A34" s="13" t="str">
        <f>Off.finans!A2</f>
        <v>Indtægter eksl. drivhusgasbeskatning</v>
      </c>
      <c r="B34" s="46">
        <f>Off.finans!D2</f>
        <v>-8.0179130233441356</v>
      </c>
      <c r="C34" s="69"/>
      <c r="D34" s="70"/>
    </row>
    <row r="35">
      <c r="A35" s="41" t="str">
        <f>Off.finans!A3</f>
        <v>Indkomstskat</v>
      </c>
      <c r="B35" s="43">
        <f>Off.finans!D3</f>
        <v>-5.8134109111540511</v>
      </c>
      <c r="C35" s="69"/>
      <c r="D35" s="70"/>
    </row>
    <row r="36">
      <c r="A36" s="41" t="str">
        <f>Off.finans!A4</f>
        <v>Kapitalafkastbeskatning</v>
      </c>
      <c r="B36" s="43">
        <f>Off.finans!D4</f>
        <v>-0.27215655639001568</v>
      </c>
      <c r="C36" s="69"/>
      <c r="D36" s="70"/>
    </row>
    <row r="37">
      <c r="A37" s="41" t="str">
        <f>Off.finans!A5</f>
        <v>Selskabsskat</v>
      </c>
      <c r="B37" s="43">
        <f>Off.finans!D5</f>
        <v>-0.099120492991538356</v>
      </c>
      <c r="C37" s="69"/>
      <c r="D37" s="70"/>
    </row>
    <row r="38">
      <c r="A38" s="41" t="str">
        <f>Off.finans!A6</f>
        <v>Afgifter</v>
      </c>
      <c r="B38" s="43">
        <f>Off.finans!D6</f>
        <v>-1.3554983076258509</v>
      </c>
      <c r="C38" s="69"/>
      <c r="D38" s="70"/>
    </row>
    <row r="39">
      <c r="A39" s="13" t="str">
        <f>Off.finans!A7</f>
        <v>Produktionsskatter</v>
      </c>
      <c r="B39" s="46">
        <f>Off.finans!D7</f>
        <v>-0.4777267551826121</v>
      </c>
      <c r="C39" s="69"/>
      <c r="D39" s="70"/>
    </row>
    <row r="40">
      <c r="A40" s="13" t="str">
        <f>Off.finans!A8</f>
        <v>Udgifter eksl. drivhusgasbeskatning</v>
      </c>
      <c r="B40" s="46">
        <f>Off.finans!D8</f>
        <v>-1.3052209615507309</v>
      </c>
      <c r="C40" s="69"/>
      <c r="D40" s="70"/>
    </row>
    <row r="41">
      <c r="A41" s="41" t="str">
        <f>Off.finans!A9</f>
        <v>Offentligt forbrug og investeringer</v>
      </c>
      <c r="B41" s="43">
        <f>Off.finans!D9</f>
        <v>-4.2040091349853128</v>
      </c>
      <c r="C41" s="69"/>
      <c r="D41" s="70"/>
    </row>
    <row r="42">
      <c r="A42" s="41" t="str">
        <f>Off.finans!A10</f>
        <v>Indkomstoverførsler</v>
      </c>
      <c r="B42" s="43">
        <f>Off.finans!D10</f>
        <v>-3.9359436778374288</v>
      </c>
      <c r="C42" s="69"/>
      <c r="D42" s="70"/>
      <c r="E42" s="50"/>
      <c r="G42" s="12"/>
      <c r="H42" s="12"/>
    </row>
    <row r="43">
      <c r="A43" s="13" t="str">
        <f>Off.finans!A11</f>
        <v>Lump-sum overførsel</v>
      </c>
      <c r="B43" s="46">
        <f>Off.finans!D11</f>
        <v>6.8347318512720978</v>
      </c>
      <c r="C43" s="69"/>
      <c r="D43" s="70"/>
    </row>
    <row r="44">
      <c r="A44" s="13" t="str">
        <f>Off.finans!A12</f>
        <v>Drivhusgasbeskatning (nettoindtægt)</v>
      </c>
      <c r="B44" s="46">
        <f>Off.finans!D12</f>
        <v>6.7126920617936756</v>
      </c>
      <c r="C44" s="69"/>
      <c r="D44" s="70"/>
    </row>
    <row r="45">
      <c r="A45" s="41" t="str">
        <f>Off.finans!A13</f>
        <v>Bruttobeskatning af CO2-udledninger</v>
      </c>
      <c r="B45" s="43">
        <f>Off.finans!D13</f>
        <v>0.71739243774412009</v>
      </c>
      <c r="C45" s="69"/>
      <c r="D45" s="70"/>
    </row>
    <row r="46">
      <c r="A46" s="41" t="str">
        <f>Off.finans!A14</f>
        <v>Bruttobeskatning af øvrige udledninger</v>
      </c>
      <c r="B46" s="43">
        <f>Off.finans!D14</f>
        <v>5.9908692108627184</v>
      </c>
    </row>
    <row r="47">
      <c r="A47" s="41" t="str">
        <f>Off.finans!A15</f>
        <v>Fradrag i drivhusbeskatningen</v>
      </c>
      <c r="B47" s="43">
        <f>Off.finans!D15</f>
        <v>-0.006265117197803538</v>
      </c>
    </row>
    <row r="48">
      <c r="A48" s="13" t="str">
        <f>Off.finans!A16</f>
        <v>Tilskud til BECCS</v>
      </c>
      <c r="B48" s="46">
        <f>Off.finans!D16</f>
        <v>0.0018347040109667478</v>
      </c>
    </row>
    <row r="49">
      <c r="A49" s="41" t="str">
        <f>Off.finans!A17</f>
        <v>Tilskud til elektrificeret procesteknologi</v>
      </c>
      <c r="B49" s="43">
        <f>Off.finans!D17</f>
        <v>0</v>
      </c>
    </row>
    <row r="50">
      <c r="A50" s="41" t="str">
        <f>Off.finans!A18</f>
        <v>Tilskud til elektrificering af virksomhedernes transport</v>
      </c>
      <c r="B50" s="43">
        <f>Off.finans!D18</f>
        <v>0</v>
      </c>
    </row>
    <row r="51">
      <c r="A51" s="41" t="str">
        <f>Off.finans!A19</f>
        <v>Tilskud til elektrificering af husholdningernes transport</v>
      </c>
      <c r="B51" s="43">
        <f>Off.finans!D19</f>
        <v>0</v>
      </c>
    </row>
    <row r="52">
      <c r="A52" s="41" t="str">
        <f>Off.finans!A20</f>
        <v>Tilskud til reduktionstiltag i landbruget</v>
      </c>
      <c r="B52" s="43">
        <f>Off.finans!D20</f>
        <v>0</v>
      </c>
    </row>
    <row r="53">
      <c r="A53" s="41" t="str">
        <f>Off.finans!A21</f>
        <v>Tilskud til reduktionstiltag i cement og renovation</v>
      </c>
      <c r="B53" s="43">
        <f>Off.finans!D21</f>
        <v>0</v>
      </c>
    </row>
    <row r="54">
      <c r="A54" s="41"/>
      <c r="B54" s="43"/>
    </row>
    <row r="55">
      <c r="A55" s="26" t="s">
        <v>19</v>
      </c>
      <c r="B55" s="73">
        <f>'Total DK'!B10:C10</f>
        <v>5905.4894730835458</v>
      </c>
      <c r="C55" s="0" t="s">
        <v>437</v>
      </c>
      <c r="D55" s="0" t="s">
        <v>438</v>
      </c>
    </row>
    <row r="56">
      <c r="A56" s="22" t="s">
        <v>20</v>
      </c>
      <c r="B56" s="72">
        <f>'Total DK'!B11:C11</f>
        <v>3693.3465971919954</v>
      </c>
    </row>
    <row r="57">
      <c r="A57" s="22" t="s">
        <v>21</v>
      </c>
      <c r="B57" s="72">
        <f>'Total DK'!B12:C12</f>
        <v>241.66365373504954</v>
      </c>
    </row>
    <row r="58">
      <c r="A58" s="22" t="s">
        <v>22</v>
      </c>
      <c r="B58" s="72">
        <f>'Total DK'!B13:C13</f>
        <v>33.331995901287819</v>
      </c>
    </row>
    <row r="59">
      <c r="A59" s="22" t="s">
        <v>23</v>
      </c>
      <c r="B59" s="72">
        <f>'Total DK'!B14:C14</f>
        <v>1333.0042006988872</v>
      </c>
    </row>
    <row r="60">
      <c r="A60" s="22" t="s">
        <v>374</v>
      </c>
      <c r="B60" s="72">
        <f>'Total DK'!B15:C15</f>
        <v>2.2397851544646983</v>
      </c>
    </row>
    <row r="61">
      <c r="A61" s="26" t="s">
        <v>24</v>
      </c>
      <c r="B61" s="73">
        <f>'Total DK'!B16:C16</f>
        <v>593.96898791441845</v>
      </c>
    </row>
    <row r="62">
      <c r="A62" s="8" t="s">
        <v>371</v>
      </c>
      <c r="B62" s="13">
        <f>'Total DK'!B17:C17</f>
        <v>7.934252487440915</v>
      </c>
    </row>
    <row r="63">
      <c r="B63" s="12"/>
    </row>
    <row r="64">
      <c r="B64" s="12"/>
    </row>
    <row r="65">
      <c r="B65" s="12"/>
    </row>
    <row r="66">
      <c r="B66" s="12"/>
    </row>
  </sheetData>
  <pageMargins left="0.7" right="0.7" top="0.75" bottom="0.75" header="0.3" footer="0.3"/>
  <pageSetup paperSize="9" orientation="portrait"/>
  <headerFooter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4"/>
  <sheetViews>
    <sheetView workbookViewId="0">
      <selection activeCell="E10" sqref="E10"/>
    </sheetView>
  </sheetViews>
  <sheetFormatPr defaultRowHeight="14.4" x14ac:dyDescent="0.3"/>
  <cols>
    <col min="1" max="1" bestFit="1" width="14.33203125" customWidth="1"/>
    <col min="2" max="2" bestFit="1" width="14.88671875" customWidth="1"/>
    <col min="3" max="4" bestFit="1" width="12" customWidth="1"/>
    <col min="5" max="5" bestFit="1" width="11.6640625" customWidth="1"/>
  </cols>
  <sheetData>
    <row r="1">
      <c r="A1" s="14"/>
      <c r="B1" s="14"/>
      <c r="C1" s="14" t="s">
        <v>0</v>
      </c>
      <c r="D1" s="14" t="s">
        <v>1</v>
      </c>
      <c r="E1" s="14" t="s">
        <v>358</v>
      </c>
    </row>
    <row r="2">
      <c r="A2" s="48" t="s">
        <v>359</v>
      </c>
      <c r="B2" s="48" t="s">
        <v>3</v>
      </c>
      <c r="C2" s="42">
        <v>2151.2401200851136</v>
      </c>
      <c r="D2" s="42">
        <v>2148.6175258934791</v>
      </c>
      <c r="E2" s="43">
        <f>D2/C2*100-100</f>
        <v>-0.12191080703398427</v>
      </c>
    </row>
    <row r="3">
      <c r="A3" s="48"/>
      <c r="B3" s="48" t="s">
        <v>360</v>
      </c>
      <c r="C3" s="42">
        <v>4162.0130977209574</v>
      </c>
      <c r="D3" s="42">
        <v>4125.5300244369246</v>
      </c>
      <c r="E3" s="43">
        <f ref="E3:E60" t="shared" si="0">D3/C3*100-100</f>
        <v>-0.87657276484810609</v>
      </c>
    </row>
    <row r="4">
      <c r="A4" s="48"/>
      <c r="B4" s="48" t="s">
        <v>361</v>
      </c>
      <c r="C4" s="42">
        <v>1181.2023937404651</v>
      </c>
      <c r="D4" s="42">
        <v>1180.3668436722278</v>
      </c>
      <c r="E4" s="43">
        <f t="shared" si="0"/>
        <v>-0.070737248135060327</v>
      </c>
    </row>
    <row r="5">
      <c r="A5" s="48"/>
      <c r="B5" s="48" t="s">
        <v>258</v>
      </c>
      <c r="C5" s="42">
        <v>1.0090032431976732</v>
      </c>
      <c r="D5" s="42">
        <v>1.0080031979279212</v>
      </c>
      <c r="E5" s="43">
        <f>D5/C5*100-100</f>
        <v>-0.099112195772804057</v>
      </c>
    </row>
    <row r="6">
      <c r="A6" s="48"/>
      <c r="B6" s="48" t="s">
        <v>362</v>
      </c>
      <c r="C6" s="42">
        <v>12826.247594153647</v>
      </c>
      <c r="D6" s="42">
        <v>12776.703009490193</v>
      </c>
      <c r="E6" s="43">
        <f ref="E6:E8" t="shared" si="1">D6/C6*100-100</f>
        <v>-0.38627497481053297</v>
      </c>
    </row>
    <row r="7">
      <c r="A7" s="48"/>
      <c r="B7" s="48" t="s">
        <v>363</v>
      </c>
      <c r="C7" s="42">
        <v>27591.521418361142</v>
      </c>
      <c r="D7" s="42">
        <v>21695.241849729584</v>
      </c>
      <c r="E7" s="43">
        <f t="shared" si="1"/>
        <v>-21.3698964954785</v>
      </c>
    </row>
    <row r="8">
      <c r="A8" s="49"/>
      <c r="B8" s="49" t="s">
        <v>364</v>
      </c>
      <c r="C8" s="14">
        <v>12.825867814918535</v>
      </c>
      <c r="D8" s="14">
        <v>10.097302841606421</v>
      </c>
      <c r="E8" s="46">
        <f t="shared" si="1"/>
        <v>-21.273920897097938</v>
      </c>
    </row>
    <row r="9">
      <c r="A9" s="48" t="s">
        <v>27</v>
      </c>
      <c r="B9" s="48" t="s">
        <v>3</v>
      </c>
      <c r="C9" s="42">
        <v>18.447915245091981</v>
      </c>
      <c r="D9" s="42">
        <v>13.124116821643771</v>
      </c>
      <c r="E9" s="43">
        <f>D9/C9*100-100</f>
        <v>-28.858536873778149</v>
      </c>
    </row>
    <row r="10">
      <c r="A10" s="48"/>
      <c r="B10" s="48" t="s">
        <v>360</v>
      </c>
      <c r="C10" s="42">
        <v>85.498161691277048</v>
      </c>
      <c r="D10" s="42">
        <v>61.193565449753741</v>
      </c>
      <c r="E10" s="43">
        <f t="shared" si="0"/>
        <v>-28.427039553533447</v>
      </c>
    </row>
    <row r="11">
      <c r="A11" s="48"/>
      <c r="B11" s="48" t="s">
        <v>361</v>
      </c>
      <c r="C11" s="42">
        <v>8.44434287380945</v>
      </c>
      <c r="D11" s="42">
        <v>6.3380333343069886</v>
      </c>
      <c r="E11" s="43">
        <f t="shared" si="0"/>
        <v>-24.943439305801832</v>
      </c>
    </row>
    <row r="12">
      <c r="A12" s="48"/>
      <c r="B12" s="48" t="s">
        <v>258</v>
      </c>
      <c r="C12" s="42">
        <v>0.95866242004791358</v>
      </c>
      <c r="D12" s="42">
        <v>1.1043377623268769</v>
      </c>
      <c r="E12" s="43">
        <f>D12/C12*100-100</f>
        <v>15.195687160834211</v>
      </c>
    </row>
    <row r="13">
      <c r="A13" s="48"/>
      <c r="B13" s="48" t="s">
        <v>362</v>
      </c>
      <c r="C13" s="42">
        <v>507.22870069915723</v>
      </c>
      <c r="D13" s="42">
        <v>486.64568997491966</v>
      </c>
      <c r="E13" s="43">
        <f ref="E13:E15" t="shared" si="2">D13/C13*100-100</f>
        <v>-4.0579349504210285</v>
      </c>
    </row>
    <row r="14">
      <c r="A14" s="48"/>
      <c r="B14" s="48" t="s">
        <v>363</v>
      </c>
      <c r="C14" s="42">
        <v>11466.161204642565</v>
      </c>
      <c r="D14" s="42">
        <v>5593.289194670815</v>
      </c>
      <c r="E14" s="43">
        <f t="shared" si="2"/>
        <v>-51.219164855225188</v>
      </c>
    </row>
    <row r="15">
      <c r="A15" s="49"/>
      <c r="B15" s="49" t="s">
        <v>364</v>
      </c>
      <c r="C15" s="14">
        <v>621.54238309898494</v>
      </c>
      <c r="D15" s="14">
        <v>426.18404504344136</v>
      </c>
      <c r="E15" s="46">
        <f t="shared" si="2"/>
        <v>-31.431217462837353</v>
      </c>
    </row>
    <row r="16">
      <c r="A16" s="48" t="s">
        <v>239</v>
      </c>
      <c r="B16" s="48" t="s">
        <v>3</v>
      </c>
      <c r="C16" s="42">
        <v>32.882369318345042</v>
      </c>
      <c r="D16" s="42">
        <v>28.876361050192081</v>
      </c>
      <c r="E16" s="43">
        <f>D16/C16*100-100</f>
        <v>-12.182845552792969</v>
      </c>
    </row>
    <row r="17">
      <c r="A17" s="48"/>
      <c r="B17" s="48" t="s">
        <v>360</v>
      </c>
      <c r="C17" s="42">
        <v>149.93760233717489</v>
      </c>
      <c r="D17" s="42">
        <v>125.44349010218346</v>
      </c>
      <c r="E17" s="43">
        <f t="shared" si="0"/>
        <v>-16.336203762889212</v>
      </c>
    </row>
    <row r="18">
      <c r="A18" s="48"/>
      <c r="B18" s="48" t="s">
        <v>361</v>
      </c>
      <c r="C18" s="42">
        <v>18.9548770813959</v>
      </c>
      <c r="D18" s="42">
        <v>16.832011089238776</v>
      </c>
      <c r="E18" s="43">
        <f t="shared" si="0"/>
        <v>-11.199576673808693</v>
      </c>
    </row>
    <row r="19">
      <c r="A19" s="48"/>
      <c r="B19" s="48" t="s">
        <v>258</v>
      </c>
      <c r="C19" s="42">
        <v>1.0237637583632342</v>
      </c>
      <c r="D19" s="42">
        <v>1.0749097667027103</v>
      </c>
      <c r="E19" s="43">
        <f>D19/C19*100-100</f>
        <v>4.9958799500039959</v>
      </c>
    </row>
    <row r="20">
      <c r="A20" s="48"/>
      <c r="B20" s="48" t="s">
        <v>362</v>
      </c>
      <c r="C20" s="42">
        <v>70.7961022615643</v>
      </c>
      <c r="D20" s="42">
        <v>67.327652906506387</v>
      </c>
      <c r="E20" s="43">
        <f ref="E20:E22" t="shared" si="3">D20/C20*100-100</f>
        <v>-4.899209482244288</v>
      </c>
    </row>
    <row r="21">
      <c r="A21" s="48"/>
      <c r="B21" s="48" t="s">
        <v>363</v>
      </c>
      <c r="C21" s="42">
        <v>560.07702120747217</v>
      </c>
      <c r="D21" s="42">
        <v>514.03521481803148</v>
      </c>
      <c r="E21" s="43">
        <f t="shared" si="3"/>
        <v>-8.2206204943346819</v>
      </c>
    </row>
    <row r="22">
      <c r="A22" s="49"/>
      <c r="B22" s="49" t="s">
        <v>364</v>
      </c>
      <c r="C22" s="14">
        <v>17.032745292323135</v>
      </c>
      <c r="D22" s="14">
        <v>17.801246283233191</v>
      </c>
      <c r="E22" s="46">
        <f t="shared" si="3"/>
        <v>4.5119032646864525</v>
      </c>
    </row>
    <row r="23">
      <c r="A23" s="48" t="s">
        <v>365</v>
      </c>
      <c r="B23" s="48" t="s">
        <v>3</v>
      </c>
      <c r="C23" s="42">
        <v>82.258571076982221</v>
      </c>
      <c r="D23" s="42">
        <v>82.724606506378635</v>
      </c>
      <c r="E23" s="43">
        <f>D23/C23*100-100</f>
        <v>0.56654938603331573</v>
      </c>
    </row>
    <row r="24">
      <c r="A24" s="48" t="s">
        <v>366</v>
      </c>
      <c r="B24" s="48" t="s">
        <v>360</v>
      </c>
      <c r="C24" s="42">
        <v>163.5492363153738</v>
      </c>
      <c r="D24" s="42">
        <v>164.10224227035337</v>
      </c>
      <c r="E24" s="43">
        <f ref="E24:E25" t="shared" si="4">D24/C24*100-100</f>
        <v>0.33812811813635335</v>
      </c>
    </row>
    <row r="25">
      <c r="A25" s="48"/>
      <c r="B25" s="48" t="s">
        <v>361</v>
      </c>
      <c r="C25" s="42">
        <v>15.988078431212188</v>
      </c>
      <c r="D25" s="42">
        <v>16.082323871847237</v>
      </c>
      <c r="E25" s="43">
        <f t="shared" si="4"/>
        <v>0.58947321931484</v>
      </c>
    </row>
    <row r="26">
      <c r="A26" s="48"/>
      <c r="B26" s="48" t="s">
        <v>258</v>
      </c>
      <c r="C26" s="42">
        <v>1.0086695404070674</v>
      </c>
      <c r="D26" s="42">
        <v>1.0043714589178323</v>
      </c>
      <c r="E26" s="43">
        <f>D26/C26*100-100</f>
        <v>-0.42611393692928345</v>
      </c>
    </row>
    <row r="27">
      <c r="A27" s="48"/>
      <c r="B27" s="48" t="s">
        <v>362</v>
      </c>
      <c r="C27" s="42">
        <v>579.16793536425973</v>
      </c>
      <c r="D27" s="42">
        <v>581.94164321672906</v>
      </c>
      <c r="E27" s="43">
        <f ref="E27:E29" t="shared" si="5">D27/C27*100-100</f>
        <v>0.478912536952663</v>
      </c>
    </row>
    <row r="28">
      <c r="A28" s="48"/>
      <c r="B28" s="48" t="s">
        <v>363</v>
      </c>
      <c r="C28" s="42">
        <v>2985.5135060112725</v>
      </c>
      <c r="D28" s="42">
        <v>2994.0040592186406</v>
      </c>
      <c r="E28" s="43">
        <f t="shared" si="5"/>
        <v>0.284391719892497</v>
      </c>
    </row>
    <row r="29">
      <c r="A29" s="49"/>
      <c r="B29" s="49" t="s">
        <v>364</v>
      </c>
      <c r="C29" s="14">
        <v>36.294254409273172</v>
      </c>
      <c r="D29" s="14">
        <v>36.19242430591413</v>
      </c>
      <c r="E29" s="46">
        <f t="shared" si="5"/>
        <v>-0.28056810924051945</v>
      </c>
    </row>
    <row r="30">
      <c r="A30" s="48" t="s">
        <v>366</v>
      </c>
      <c r="B30" s="48" t="s">
        <v>3</v>
      </c>
      <c r="C30" s="42">
        <v>12.05164054357973</v>
      </c>
      <c r="D30" s="42">
        <v>12.051190348589904</v>
      </c>
      <c r="E30" s="43">
        <f>D30/C30*100-100</f>
        <v>-0.0037355494316102522</v>
      </c>
    </row>
    <row r="31">
      <c r="A31" s="48"/>
      <c r="B31" s="48" t="s">
        <v>360</v>
      </c>
      <c r="C31" s="42">
        <v>15.355219923991001</v>
      </c>
      <c r="D31" s="42">
        <v>15.355219923991001</v>
      </c>
      <c r="E31" s="43">
        <f t="shared" si="0"/>
        <v>0</v>
      </c>
    </row>
    <row r="32">
      <c r="A32" s="48"/>
      <c r="B32" s="48" t="s">
        <v>361</v>
      </c>
      <c r="C32" s="42">
        <v>2.1779642992470274</v>
      </c>
      <c r="D32" s="42">
        <v>2.1807371194694487</v>
      </c>
      <c r="E32" s="43">
        <f t="shared" si="0"/>
        <v>0.12731247355064568</v>
      </c>
    </row>
    <row r="33">
      <c r="A33" s="48"/>
      <c r="B33" s="48" t="s">
        <v>258</v>
      </c>
      <c r="C33" s="42">
        <v>1.5209772821242611</v>
      </c>
      <c r="D33" s="42">
        <v>1.5170983405503238</v>
      </c>
      <c r="E33" s="43">
        <f>D33/C33*100-100</f>
        <v>-0.255029553664329</v>
      </c>
    </row>
    <row r="34" ht="12.6" customHeight="1">
      <c r="A34" s="48"/>
      <c r="B34" s="48" t="s">
        <v>362</v>
      </c>
      <c r="C34" s="42">
        <v>610.82578634752667</v>
      </c>
      <c r="D34" s="42">
        <v>610.16661561510307</v>
      </c>
      <c r="E34" s="43">
        <f ref="E34:E36" t="shared" si="6">D34/C34*100-100</f>
        <v>-0.10791468650417357</v>
      </c>
    </row>
    <row r="35">
      <c r="A35" s="48"/>
      <c r="B35" s="48" t="s">
        <v>363</v>
      </c>
      <c r="C35" s="42">
        <v>1345.2212202444564</v>
      </c>
      <c r="D35" s="42">
        <v>1344.6614231146839</v>
      </c>
      <c r="E35" s="43">
        <f t="shared" si="6"/>
        <v>-0.04161375997850314</v>
      </c>
    </row>
    <row r="36">
      <c r="A36" s="49"/>
      <c r="B36" s="49" t="s">
        <v>364</v>
      </c>
      <c r="C36" s="14">
        <v>111.62141912381348</v>
      </c>
      <c r="D36" s="14">
        <v>111.57913734820571</v>
      </c>
      <c r="E36" s="46">
        <f t="shared" si="6"/>
        <v>-0.037879625559028796</v>
      </c>
    </row>
    <row r="37">
      <c r="A37" s="48" t="s">
        <v>241</v>
      </c>
      <c r="B37" s="48" t="s">
        <v>3</v>
      </c>
      <c r="C37" s="42">
        <v>284.30633944971146</v>
      </c>
      <c r="D37" s="42">
        <v>287.47118158223896</v>
      </c>
      <c r="E37" s="43">
        <f>D37/C37*100-100</f>
        <v>1.1131802894909697</v>
      </c>
    </row>
    <row r="38">
      <c r="A38" s="48"/>
      <c r="B38" s="48" t="s">
        <v>360</v>
      </c>
      <c r="C38" s="42">
        <v>639.35383461374636</v>
      </c>
      <c r="D38" s="42">
        <v>645.36332204191149</v>
      </c>
      <c r="E38" s="43">
        <f t="shared" si="0"/>
        <v>0.93993139679777471</v>
      </c>
    </row>
    <row r="39">
      <c r="A39" s="48"/>
      <c r="B39" s="48" t="s">
        <v>361</v>
      </c>
      <c r="C39" s="42">
        <v>127.92723052435758</v>
      </c>
      <c r="D39" s="42">
        <v>129.26221550204826</v>
      </c>
      <c r="E39" s="43">
        <f t="shared" si="0"/>
        <v>1.0435502841879156</v>
      </c>
    </row>
    <row r="40">
      <c r="A40" s="48"/>
      <c r="B40" s="48" t="s">
        <v>258</v>
      </c>
      <c r="C40" s="42">
        <v>1.0031861289768198</v>
      </c>
      <c r="D40" s="42">
        <v>0.99921914409121093</v>
      </c>
      <c r="E40" s="43">
        <f>D40/C40*100-100</f>
        <v>-0.39543857027358342</v>
      </c>
    </row>
    <row r="41">
      <c r="A41" s="48"/>
      <c r="B41" s="48" t="s">
        <v>362</v>
      </c>
      <c r="C41" s="42">
        <v>1184.7268299637672</v>
      </c>
      <c r="D41" s="42">
        <v>1190.0066409306651</v>
      </c>
      <c r="E41" s="43">
        <f ref="E41:E43" t="shared" si="7">D41/C41*100-100</f>
        <v>0.44565640224922731</v>
      </c>
    </row>
    <row r="42">
      <c r="A42" s="48"/>
      <c r="B42" s="48" t="s">
        <v>363</v>
      </c>
      <c r="C42" s="42">
        <v>3515.0167319035963</v>
      </c>
      <c r="D42" s="42">
        <v>3528.0873385508366</v>
      </c>
      <c r="E42" s="43">
        <f t="shared" si="7"/>
        <v>0.37185048163802037</v>
      </c>
    </row>
    <row r="43">
      <c r="A43" s="49"/>
      <c r="B43" s="49" t="s">
        <v>364</v>
      </c>
      <c r="C43" s="14">
        <v>12.363483483017227</v>
      </c>
      <c r="D43" s="14">
        <v>12.272838338550228</v>
      </c>
      <c r="E43" s="46">
        <f t="shared" si="7"/>
        <v>-0.733168322597038</v>
      </c>
    </row>
    <row r="44">
      <c r="A44" s="48" t="s">
        <v>242</v>
      </c>
      <c r="B44" s="48" t="s">
        <v>3</v>
      </c>
      <c r="C44" s="42">
        <v>1133.7167041260775</v>
      </c>
      <c r="D44" s="42">
        <v>1136.4901190295918</v>
      </c>
      <c r="E44" s="43">
        <f>D44/C44*100-100</f>
        <v>0.24463032902492898</v>
      </c>
    </row>
    <row r="45">
      <c r="A45" s="48"/>
      <c r="B45" s="48" t="s">
        <v>360</v>
      </c>
      <c r="C45" s="42">
        <v>2107.4428015934113</v>
      </c>
      <c r="D45" s="42">
        <v>2112.775337545796</v>
      </c>
      <c r="E45" s="43">
        <f t="shared" si="0"/>
        <v>0.25303348438936268</v>
      </c>
    </row>
    <row r="46">
      <c r="A46" s="48"/>
      <c r="B46" s="48" t="s">
        <v>361</v>
      </c>
      <c r="C46" s="42">
        <v>539.75007501923847</v>
      </c>
      <c r="D46" s="42">
        <v>541.426954837876</v>
      </c>
      <c r="E46" s="43">
        <f t="shared" si="0"/>
        <v>0.31067708857248988</v>
      </c>
    </row>
    <row r="47">
      <c r="A47" s="48"/>
      <c r="B47" s="48" t="s">
        <v>258</v>
      </c>
      <c r="C47" s="42">
        <v>0.99914113932520932</v>
      </c>
      <c r="D47" s="42">
        <v>0.99412562081914868</v>
      </c>
      <c r="E47" s="43">
        <f>D47/C47*100-100</f>
        <v>-0.50198298405047126</v>
      </c>
    </row>
    <row r="48">
      <c r="A48" s="48"/>
      <c r="B48" s="48" t="s">
        <v>362</v>
      </c>
      <c r="C48" s="42">
        <v>5901.9434077479964</v>
      </c>
      <c r="D48" s="42">
        <v>5891.38618305458</v>
      </c>
      <c r="E48" s="43">
        <f ref="E48:E50" t="shared" si="8">D48/C48*100-100</f>
        <v>-0.17887709122315698</v>
      </c>
    </row>
    <row r="49">
      <c r="A49" s="48"/>
      <c r="B49" s="48" t="s">
        <v>363</v>
      </c>
      <c r="C49" s="42">
        <v>5336.1792206832833</v>
      </c>
      <c r="D49" s="42">
        <v>5343.5224371442482</v>
      </c>
      <c r="E49" s="43">
        <f t="shared" si="8"/>
        <v>0.13761187841110711</v>
      </c>
    </row>
    <row r="50">
      <c r="A50" s="49"/>
      <c r="B50" s="49" t="s">
        <v>364</v>
      </c>
      <c r="C50" s="14">
        <v>4.7068012681322031</v>
      </c>
      <c r="D50" s="14">
        <v>4.7017764146571643</v>
      </c>
      <c r="E50" s="46">
        <f t="shared" si="8"/>
        <v>-0.10675728990429434</v>
      </c>
    </row>
    <row r="51">
      <c r="A51" s="48" t="s">
        <v>243</v>
      </c>
      <c r="B51" s="48" t="s">
        <v>3</v>
      </c>
      <c r="C51" s="42">
        <v>460.36632825874813</v>
      </c>
      <c r="D51" s="42">
        <v>460.54001751772319</v>
      </c>
      <c r="E51" s="43">
        <f>D51/C51*100-100</f>
        <v>0.037728488882322608</v>
      </c>
    </row>
    <row r="52">
      <c r="A52" s="48"/>
      <c r="B52" s="48" t="s">
        <v>360</v>
      </c>
      <c r="C52" s="42">
        <v>669.02136706445015</v>
      </c>
      <c r="D52" s="42">
        <v>669.23409262371</v>
      </c>
      <c r="E52" s="43">
        <f t="shared" si="0"/>
        <v>0.031796526947005077</v>
      </c>
    </row>
    <row r="53">
      <c r="A53" s="48"/>
      <c r="B53" s="48" t="s">
        <v>361</v>
      </c>
      <c r="C53" s="42">
        <v>393.5858931547566</v>
      </c>
      <c r="D53" s="42">
        <v>393.76914466996095</v>
      </c>
      <c r="E53" s="43">
        <f t="shared" si="0"/>
        <v>0.04655947237731084</v>
      </c>
    </row>
    <row r="54">
      <c r="A54" s="48"/>
      <c r="B54" s="48" t="s">
        <v>258</v>
      </c>
      <c r="C54" s="42">
        <v>1.0648875805752531</v>
      </c>
      <c r="D54" s="42">
        <v>1.0576686599637388</v>
      </c>
      <c r="E54" s="43">
        <f>D54/C54*100-100</f>
        <v>-0.67790447960850031</v>
      </c>
    </row>
    <row r="55">
      <c r="A55" s="48"/>
      <c r="B55" s="48" t="s">
        <v>362</v>
      </c>
      <c r="C55" s="42">
        <v>3039.6734708529011</v>
      </c>
      <c r="D55" s="42">
        <v>3020.48532068221</v>
      </c>
      <c r="E55" s="43">
        <f ref="E55:E57" t="shared" si="9">D55/C55*100-100</f>
        <v>-0.63125695423157424</v>
      </c>
    </row>
    <row r="56">
      <c r="A56" s="48"/>
      <c r="B56" s="48" t="s">
        <v>363</v>
      </c>
      <c r="C56" s="42">
        <v>505.3073996421794</v>
      </c>
      <c r="D56" s="42">
        <v>505.34761560676691</v>
      </c>
      <c r="E56" s="43">
        <f t="shared" si="9"/>
        <v>0.0079587127787874579</v>
      </c>
    </row>
    <row r="57">
      <c r="A57" s="49"/>
      <c r="B57" s="49" t="s">
        <v>364</v>
      </c>
      <c r="C57" s="14">
        <v>1.097620239849888</v>
      </c>
      <c r="D57" s="14">
        <v>1.0972936039967891</v>
      </c>
      <c r="E57" s="46">
        <f t="shared" si="9"/>
        <v>-0.029758548652807804</v>
      </c>
    </row>
    <row r="58">
      <c r="A58" s="48" t="s">
        <v>367</v>
      </c>
      <c r="B58" s="48" t="s">
        <v>3</v>
      </c>
      <c r="C58" s="42">
        <v>127.21025206657808</v>
      </c>
      <c r="D58" s="42">
        <v>127.33993303712077</v>
      </c>
      <c r="E58" s="43">
        <f>D58/C58*100-100</f>
        <v>0.1019422321990362</v>
      </c>
    </row>
    <row r="59">
      <c r="A59" s="48"/>
      <c r="B59" s="48" t="s">
        <v>360</v>
      </c>
      <c r="C59" s="42">
        <v>331.85487418153332</v>
      </c>
      <c r="D59" s="42">
        <v>332.06275447922553</v>
      </c>
      <c r="E59" s="43">
        <f t="shared" si="0"/>
        <v>0.062641929911350758</v>
      </c>
    </row>
    <row r="60">
      <c r="A60" s="48"/>
      <c r="B60" s="48" t="s">
        <v>361</v>
      </c>
      <c r="C60" s="42">
        <v>74.37393235644771</v>
      </c>
      <c r="D60" s="42">
        <v>74.475423247480222</v>
      </c>
      <c r="E60" s="43">
        <f t="shared" si="0"/>
        <v>0.13646029975409135</v>
      </c>
    </row>
    <row r="61">
      <c r="A61" s="48"/>
      <c r="B61" s="48" t="s">
        <v>258</v>
      </c>
      <c r="C61" s="42">
        <v>0.95295221402407948</v>
      </c>
      <c r="D61" s="42">
        <v>0.94850224017159745</v>
      </c>
      <c r="E61" s="43">
        <f>D61/C61*100-100</f>
        <v>-0.46696715606451278</v>
      </c>
    </row>
    <row r="62">
      <c r="A62" s="48"/>
      <c r="B62" s="48" t="s">
        <v>362</v>
      </c>
      <c r="C62" s="42">
        <v>931.8853609164712</v>
      </c>
      <c r="D62" s="42">
        <v>928.74326310947868</v>
      </c>
      <c r="E62" s="43">
        <f ref="E62:E64" t="shared" si="10">D62/C62*100-100</f>
        <v>-0.33717643164845867</v>
      </c>
    </row>
    <row r="63">
      <c r="A63" s="48"/>
      <c r="B63" s="48" t="s">
        <v>363</v>
      </c>
      <c r="C63" s="42">
        <v>1878.0451140263253</v>
      </c>
      <c r="D63" s="42">
        <v>1872.2945666055648</v>
      </c>
      <c r="E63" s="43">
        <f t="shared" si="10"/>
        <v>-0.30619857732980904</v>
      </c>
    </row>
    <row r="64">
      <c r="A64" s="49"/>
      <c r="B64" s="49" t="s">
        <v>364</v>
      </c>
      <c r="C64" s="14">
        <v>14.763315719580621</v>
      </c>
      <c r="D64" s="14">
        <v>14.703121966145321</v>
      </c>
      <c r="E64" s="46">
        <f t="shared" si="10"/>
        <v>-0.40772516539401238</v>
      </c>
    </row>
  </sheetData>
  <pageMargins left="0.7" right="0.7" top="0.75" bottom="0.75" header="0.3" footer="0.3"/>
  <headerFooter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7"/>
  <sheetViews>
    <sheetView tabSelected="1" workbookViewId="0">
      <selection activeCell="B7" sqref="B7"/>
    </sheetView>
  </sheetViews>
  <sheetFormatPr defaultRowHeight="14.4" x14ac:dyDescent="0.3"/>
  <cols>
    <col min="1" max="1" width="44" customWidth="1"/>
  </cols>
  <sheetData>
    <row r="2">
      <c r="A2" s="41" t="s">
        <v>353</v>
      </c>
      <c r="B2" s="41">
        <v>81628.261566199013</v>
      </c>
    </row>
    <row r="3">
      <c r="A3" s="41" t="s">
        <v>354</v>
      </c>
      <c r="B3" s="41">
        <v>6564.1351558747519</v>
      </c>
    </row>
    <row r="4">
      <c r="A4" s="13" t="s">
        <v>355</v>
      </c>
      <c r="B4" s="13">
        <v>88192.396722073769</v>
      </c>
    </row>
    <row r="5">
      <c r="A5" s="105" t="s">
        <v>356</v>
      </c>
      <c r="B5" s="91">
        <v>0.20580005391164538</v>
      </c>
    </row>
    <row r="6">
      <c r="A6" s="106"/>
      <c r="B6" s="13">
        <v>18150</v>
      </c>
    </row>
    <row r="7">
      <c r="A7" s="13" t="s">
        <v>357</v>
      </c>
      <c r="B7" s="13">
        <v>1089</v>
      </c>
      <c r="D7" s="0">
        <f>B6*60</f>
        <v>820683.96180908231</v>
      </c>
    </row>
  </sheetData>
  <mergeCells>
    <mergeCell ref="A5:A6"/>
  </mergeCells>
  <pageMargins left="0.7" right="0.7" top="0.75" bottom="0.75" header="0.3" footer="0.3"/>
  <headerFooter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6"/>
  <sheetViews>
    <sheetView workbookViewId="0">
      <selection activeCell="G25" sqref="G25"/>
    </sheetView>
  </sheetViews>
  <sheetFormatPr defaultRowHeight="14.4" x14ac:dyDescent="0.3"/>
  <cols>
    <col min="1" max="1" bestFit="1" width="34.21875" customWidth="1"/>
  </cols>
  <sheetData>
    <row r="2">
      <c r="A2" s="13" t="s">
        <v>348</v>
      </c>
      <c r="B2" s="13">
        <v>3672.0869397529409</v>
      </c>
    </row>
    <row r="3">
      <c r="A3" s="41" t="s">
        <v>349</v>
      </c>
      <c r="B3" s="41">
        <v>305.73257360543914</v>
      </c>
    </row>
    <row r="4">
      <c r="A4" s="41" t="s">
        <v>350</v>
      </c>
      <c r="B4" s="41">
        <v>2056.1773146025221</v>
      </c>
    </row>
    <row r="5">
      <c r="A5" s="41" t="s">
        <v>351</v>
      </c>
      <c r="B5" s="41">
        <v>1233.9835588107876</v>
      </c>
    </row>
    <row r="6">
      <c r="A6" s="13" t="s">
        <v>352</v>
      </c>
      <c r="B6" s="13">
        <v>76.19349273419202</v>
      </c>
    </row>
  </sheetData>
  <pageMargins left="0.7" right="0.7" top="0.75" bottom="0.75" header="0.3" footer="0.3"/>
  <headerFooter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13"/>
  <sheetViews>
    <sheetView workbookViewId="0">
      <selection activeCell="E12" sqref="E12"/>
    </sheetView>
  </sheetViews>
  <sheetFormatPr defaultRowHeight="14.4" x14ac:dyDescent="0.3"/>
  <cols>
    <col min="2" max="2" bestFit="1" width="20.5546875" customWidth="1"/>
    <col min="7" max="7" bestFit="1" width="14.33203125" customWidth="1"/>
    <col min="8" max="8" width="14.33203125" customWidth="1"/>
    <col min="9" max="9" bestFit="1" width="17.5546875" customWidth="1"/>
  </cols>
  <sheetData>
    <row r="2">
      <c r="B2" s="48"/>
      <c r="C2" s="42" t="s">
        <v>0</v>
      </c>
      <c r="D2" s="42" t="s">
        <v>1</v>
      </c>
      <c r="E2" s="42" t="s">
        <v>236</v>
      </c>
      <c r="F2" s="42"/>
      <c r="G2" s="42" t="s">
        <v>237</v>
      </c>
      <c r="H2" s="42" t="s">
        <v>238</v>
      </c>
      <c r="I2" s="42" t="s">
        <v>238</v>
      </c>
    </row>
    <row r="3">
      <c r="B3" s="48" t="s">
        <v>27</v>
      </c>
      <c r="C3" s="42">
        <f>Makro_branche!C14</f>
        <v>11466.161204642565</v>
      </c>
      <c r="D3" s="42">
        <f>Makro_branche!D14</f>
        <v>5593.289194670815</v>
      </c>
      <c r="E3" s="42">
        <f ref="E3:E13" t="shared" si="0">D3-C3</f>
        <v>-5872.87200997175</v>
      </c>
      <c r="F3" s="42"/>
      <c r="G3" s="42">
        <f>C3/$C$13*100</f>
        <v>29.199510598500144</v>
      </c>
      <c r="H3" s="43">
        <f>-E3/1000</f>
        <v>5.8728720099717506</v>
      </c>
      <c r="I3" s="42">
        <f>E3/$E$13*100</f>
        <v>99.469161990116959</v>
      </c>
    </row>
    <row r="4">
      <c r="B4" s="48" t="s">
        <v>239</v>
      </c>
      <c r="C4" s="42">
        <f>Makro_branche!C21</f>
        <v>560.07702120747217</v>
      </c>
      <c r="D4" s="42">
        <f>Makro_branche!D21</f>
        <v>514.03521481803148</v>
      </c>
      <c r="E4" s="42">
        <f t="shared" si="0"/>
        <v>-46.041806389440694</v>
      </c>
      <c r="F4" s="42"/>
      <c r="G4" s="43">
        <f ref="G4:G12" t="shared" si="1">C4/$C$13*100</f>
        <v>1.4262816146438242</v>
      </c>
      <c r="H4" s="43">
        <f ref="H4:H13" t="shared" si="2">-E4/1000</f>
        <v>0.046041806389440693</v>
      </c>
      <c r="I4" s="43">
        <f ref="I4:I12" t="shared" si="3">E4/$E$13*100</f>
        <v>0.77981265219006679</v>
      </c>
    </row>
    <row r="5">
      <c r="B5" s="48" t="s">
        <v>240</v>
      </c>
      <c r="C5" s="42">
        <f>Makro_branche!C28+Makro_branche!C35-C11</f>
        <v>5297.8246111302205</v>
      </c>
      <c r="D5" s="42">
        <f>Makro_branche!D28+Makro_branche!D35-D11</f>
        <v>5307.9951523622813</v>
      </c>
      <c r="E5" s="42">
        <f t="shared" si="0"/>
        <v>10.170541232060714</v>
      </c>
      <c r="F5" s="42"/>
      <c r="G5" s="42">
        <f t="shared" si="1"/>
        <v>13.491340573430746</v>
      </c>
      <c r="H5" s="43">
        <f t="shared" si="2"/>
        <v>-0.010170541232060714</v>
      </c>
      <c r="I5" s="42">
        <f t="shared" si="3"/>
        <v>-0.17225902618366054</v>
      </c>
    </row>
    <row r="6">
      <c r="B6" s="48" t="s">
        <v>241</v>
      </c>
      <c r="C6" s="42">
        <f>Makro_branche!C42</f>
        <v>3515.0167319035963</v>
      </c>
      <c r="D6" s="42">
        <f>Makro_branche!D42</f>
        <v>3528.0873385508366</v>
      </c>
      <c r="E6" s="42">
        <f t="shared" si="0"/>
        <v>13.070606647240311</v>
      </c>
      <c r="F6" s="42"/>
      <c r="G6" s="42">
        <f t="shared" si="1"/>
        <v>8.95127553898052</v>
      </c>
      <c r="H6" s="43">
        <f t="shared" si="2"/>
        <v>-0.01307060664724031</v>
      </c>
      <c r="I6" s="42">
        <f t="shared" si="3"/>
        <v>-0.22137759646318256</v>
      </c>
    </row>
    <row r="7">
      <c r="B7" s="48" t="s">
        <v>242</v>
      </c>
      <c r="C7" s="42">
        <f>Makro_branche!C49</f>
        <v>5336.1792206832833</v>
      </c>
      <c r="D7" s="42">
        <f>Makro_branche!D49</f>
        <v>5343.5224371442482</v>
      </c>
      <c r="E7" s="42">
        <f t="shared" si="0"/>
        <v>7.343216460964868</v>
      </c>
      <c r="F7" s="42"/>
      <c r="G7" s="42">
        <f t="shared" si="1"/>
        <v>13.589013701180994</v>
      </c>
      <c r="H7" s="43">
        <f t="shared" si="2"/>
        <v>-0.0073432164609648683</v>
      </c>
      <c r="I7" s="42">
        <f t="shared" si="3"/>
        <v>-0.12437246826493011</v>
      </c>
    </row>
    <row r="8">
      <c r="B8" s="48" t="s">
        <v>243</v>
      </c>
      <c r="C8" s="42">
        <f>Makro_branche!C56</f>
        <v>505.3073996421794</v>
      </c>
      <c r="D8" s="42">
        <f>Makro_branche!D56</f>
        <v>505.34761560676691</v>
      </c>
      <c r="E8" s="42">
        <f t="shared" si="0"/>
        <v>0.040215964587503095</v>
      </c>
      <c r="F8" s="42"/>
      <c r="G8" s="43">
        <f t="shared" si="1"/>
        <v>1.2868063258502143</v>
      </c>
      <c r="H8" s="43">
        <f t="shared" si="2"/>
        <v>-4.0215964587503093E-05</v>
      </c>
      <c r="I8" s="43">
        <f t="shared" si="3"/>
        <v>-0.000681140043466126</v>
      </c>
    </row>
    <row r="9">
      <c r="B9" s="48" t="s">
        <v>244</v>
      </c>
      <c r="C9" s="42">
        <f>Makro_branche!C63</f>
        <v>1878.0451140263253</v>
      </c>
      <c r="D9" s="42">
        <f>Makro_branche!D63</f>
        <v>1872.2945666055648</v>
      </c>
      <c r="E9" s="42">
        <f t="shared" si="0"/>
        <v>-5.75054742076054</v>
      </c>
      <c r="F9" s="42"/>
      <c r="G9" s="42">
        <f t="shared" si="1"/>
        <v>4.78259438645164</v>
      </c>
      <c r="H9" s="43">
        <f t="shared" si="2"/>
        <v>0.00575054742076054</v>
      </c>
      <c r="I9" s="43">
        <f t="shared" si="3"/>
        <v>0.097397343575044287</v>
      </c>
    </row>
    <row r="10">
      <c r="B10" s="48" t="s">
        <v>245</v>
      </c>
      <c r="C10" s="42">
        <f>Husholdninger!B7</f>
        <v>6390.2969120140833</v>
      </c>
      <c r="D10" s="42">
        <f>Husholdninger!C7</f>
        <v>6382.3626595266423</v>
      </c>
      <c r="E10" s="42">
        <f t="shared" si="0"/>
        <v>-7.9342524874409719</v>
      </c>
      <c r="F10" s="42"/>
      <c r="G10" s="42">
        <f t="shared" si="1"/>
        <v>16.27341000005892</v>
      </c>
      <c r="H10" s="43">
        <f t="shared" si="2"/>
        <v>0.0079342524874409723</v>
      </c>
      <c r="I10" s="43">
        <f t="shared" si="3"/>
        <v>0.13438287853093375</v>
      </c>
    </row>
    <row r="11">
      <c r="B11" s="48" t="s">
        <v>246</v>
      </c>
      <c r="C11" s="42">
        <f>-'Total DK'!B7</f>
        <v>-967.089884874492</v>
      </c>
      <c r="D11" s="42">
        <f>-'Total DK'!C7</f>
        <v>-969.32967002895668</v>
      </c>
      <c r="E11" s="42">
        <f t="shared" si="0"/>
        <v>-2.2397851544646983</v>
      </c>
      <c r="F11" s="42"/>
      <c r="G11" s="42">
        <f t="shared" si="1"/>
        <v>-2.4627729227861743</v>
      </c>
      <c r="H11" s="43">
        <f t="shared" si="2"/>
        <v>0.0022397851544646982</v>
      </c>
      <c r="I11" s="42">
        <f t="shared" si="3"/>
        <v>0.037935366541996182</v>
      </c>
    </row>
    <row r="12">
      <c r="B12" s="48" t="s">
        <v>247</v>
      </c>
      <c r="C12" s="42">
        <f>5286.51517803477</f>
        <v>5286.51517803477</v>
      </c>
      <c r="D12" s="42">
        <f>5286.51517803477</f>
        <v>5286.51517803477</v>
      </c>
      <c r="E12" s="42">
        <f t="shared" si="0"/>
        <v>0</v>
      </c>
      <c r="F12" s="42"/>
      <c r="G12" s="42">
        <f t="shared" si="1"/>
        <v>13.46254018368915</v>
      </c>
      <c r="H12" s="43">
        <f t="shared" si="2"/>
        <v>0</v>
      </c>
      <c r="I12" s="42">
        <f t="shared" si="3"/>
        <v>0</v>
      </c>
    </row>
    <row r="13">
      <c r="B13" s="48" t="s">
        <v>248</v>
      </c>
      <c r="C13" s="42">
        <f>SUM(C3:C12)</f>
        <v>39268.333508410011</v>
      </c>
      <c r="D13" s="42">
        <f>SUM(D3:D12)</f>
        <v>33364.119687290993</v>
      </c>
      <c r="E13" s="42">
        <f t="shared" si="0"/>
        <v>-5904.2138211190177</v>
      </c>
      <c r="F13" s="42"/>
      <c r="G13" s="42"/>
      <c r="H13" s="43">
        <f t="shared" si="2"/>
        <v>5.9042138211190176</v>
      </c>
      <c r="I13" s="42"/>
    </row>
  </sheetData>
  <pageMargins left="0.7" right="0.7" top="0.75" bottom="0.75" header="0.3" footer="0.3"/>
  <headerFooter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>
      <selection activeCell="D3" sqref="D3"/>
    </sheetView>
  </sheetViews>
  <sheetFormatPr defaultRowHeight="14.4" x14ac:dyDescent="0.3"/>
  <cols>
    <col min="1" max="1" width="30.33203125" customWidth="1"/>
    <col min="3" max="3" hidden="1" width="13.5546875" customWidth="1"/>
    <col min="4" max="4" bestFit="1" width="13.5546875" customWidth="1"/>
  </cols>
  <sheetData>
    <row r="1">
      <c r="A1" s="13"/>
      <c r="B1" s="14" t="s">
        <v>213</v>
      </c>
      <c r="C1" s="53"/>
      <c r="D1" s="53" t="s">
        <v>214</v>
      </c>
      <c r="F1" s="0" t="s">
        <v>215</v>
      </c>
    </row>
    <row r="2">
      <c r="A2" s="47" t="s">
        <v>216</v>
      </c>
      <c r="B2" s="51">
        <v>1102.5920457925508</v>
      </c>
      <c r="C2" s="54">
        <v>1094.5741327692067</v>
      </c>
      <c r="D2" s="54">
        <f>C2-B2</f>
        <v>-8.0179130233441356</v>
      </c>
      <c r="F2" s="12">
        <f>B2+B12-B8-SUM(B17:B21)</f>
        <v>0</v>
      </c>
      <c r="G2" s="12">
        <f ref="G2:H2" t="shared" si="0">C2+C12-C8-SUM(C17:C21)</f>
        <v>2.2737367544323206E-13</v>
      </c>
      <c r="H2" s="12">
        <f t="shared" si="0"/>
        <v>2.708944180085382E-13</v>
      </c>
    </row>
    <row r="3">
      <c r="A3" s="41" t="s">
        <v>217</v>
      </c>
      <c r="B3" s="43">
        <v>636.56514737038185</v>
      </c>
      <c r="C3" s="55">
        <v>630.7517364592278</v>
      </c>
      <c r="D3" s="55">
        <f ref="D3:D21" t="shared" si="1">C3-B3</f>
        <v>-5.8134109111540511</v>
      </c>
      <c r="F3" s="12">
        <f>SUM(B3:B7)-B2</f>
        <v>0</v>
      </c>
      <c r="G3" s="12">
        <f ref="G3:H3" t="shared" si="2">SUM(C3:C7)-C2</f>
        <v>0</v>
      </c>
      <c r="H3" s="12">
        <f t="shared" si="2"/>
        <v>6.7501559897209518E-14</v>
      </c>
    </row>
    <row r="4">
      <c r="A4" s="41" t="s">
        <v>218</v>
      </c>
      <c r="B4" s="43">
        <v>57.7207926355635</v>
      </c>
      <c r="C4" s="55">
        <v>57.448636079173482</v>
      </c>
      <c r="D4" s="55">
        <f t="shared" si="1"/>
        <v>-0.27215655639001568</v>
      </c>
      <c r="F4" s="50">
        <f>SUM(B9:B11)-B8</f>
        <v>0</v>
      </c>
      <c r="G4" s="50">
        <f ref="G4:H4" t="shared" si="3">SUM(C9:C11)-C8</f>
        <v>0</v>
      </c>
      <c r="H4" s="50">
        <f t="shared" si="3"/>
        <v>8.7041485130612273E-14</v>
      </c>
    </row>
    <row r="5">
      <c r="A5" s="41" t="s">
        <v>219</v>
      </c>
      <c r="B5" s="43">
        <v>54.535096879207373</v>
      </c>
      <c r="C5" s="55">
        <v>54.435976386215835</v>
      </c>
      <c r="D5" s="55">
        <f t="shared" si="1"/>
        <v>-0.099120492991538356</v>
      </c>
      <c r="F5" s="50">
        <f>B13+B14-B15-B16-B12</f>
        <v>0</v>
      </c>
      <c r="G5" s="50">
        <f>C13+C14-C15-C16-C12</f>
        <v>0</v>
      </c>
      <c r="H5" s="50">
        <f>D13+D14-D15-D16-D12</f>
        <v>0</v>
      </c>
    </row>
    <row r="6">
      <c r="A6" s="41" t="s">
        <v>220</v>
      </c>
      <c r="B6" s="43">
        <v>323.59578513027145</v>
      </c>
      <c r="C6" s="55">
        <v>322.2402868226456</v>
      </c>
      <c r="D6" s="55">
        <f t="shared" si="1"/>
        <v>-1.3554983076258509</v>
      </c>
    </row>
    <row r="7">
      <c r="A7" s="13" t="s">
        <v>221</v>
      </c>
      <c r="B7" s="46">
        <v>30.175223777126625</v>
      </c>
      <c r="C7" s="56">
        <v>29.697497021944013</v>
      </c>
      <c r="D7" s="56">
        <f t="shared" si="1"/>
        <v>-0.4777267551826121</v>
      </c>
    </row>
    <row r="8">
      <c r="A8" s="47" t="s">
        <v>222</v>
      </c>
      <c r="B8" s="51">
        <v>1102.856777160506</v>
      </c>
      <c r="C8" s="57">
        <v>1101.5515561989553</v>
      </c>
      <c r="D8" s="57">
        <f t="shared" si="1"/>
        <v>-1.3052209615507309</v>
      </c>
    </row>
    <row r="9">
      <c r="A9" s="41" t="s">
        <v>223</v>
      </c>
      <c r="B9" s="43">
        <v>637.04930227385842</v>
      </c>
      <c r="C9" s="55">
        <v>632.8452931388731</v>
      </c>
      <c r="D9" s="55">
        <f t="shared" si="1"/>
        <v>-4.2040091349853128</v>
      </c>
    </row>
    <row r="10">
      <c r="A10" s="41" t="s">
        <v>224</v>
      </c>
      <c r="B10" s="43">
        <v>456.58890837358683</v>
      </c>
      <c r="C10" s="55">
        <v>452.6529646957494</v>
      </c>
      <c r="D10" s="55">
        <f t="shared" si="1"/>
        <v>-3.9359436778374288</v>
      </c>
    </row>
    <row r="11">
      <c r="A11" s="13" t="s">
        <v>225</v>
      </c>
      <c r="B11" s="46">
        <v>9.2185665130607024</v>
      </c>
      <c r="C11" s="56">
        <v>16.0532983643328</v>
      </c>
      <c r="D11" s="56">
        <f t="shared" si="1"/>
        <v>6.8347318512720978</v>
      </c>
    </row>
    <row r="12">
      <c r="A12" s="47" t="s">
        <v>226</v>
      </c>
      <c r="B12" s="51">
        <v>0.26473136795516561</v>
      </c>
      <c r="C12" s="57">
        <v>6.9774234297488409</v>
      </c>
      <c r="D12" s="57">
        <f t="shared" si="1"/>
        <v>6.7126920617936756</v>
      </c>
    </row>
    <row r="13">
      <c r="A13" s="41" t="s">
        <v>227</v>
      </c>
      <c r="B13" s="43">
        <v>1.8540308293105217</v>
      </c>
      <c r="C13" s="55">
        <v>2.5714232670546417</v>
      </c>
      <c r="D13" s="55">
        <f t="shared" si="1"/>
        <v>0.71739243774412009</v>
      </c>
    </row>
    <row r="14">
      <c r="A14" s="41" t="s">
        <v>228</v>
      </c>
      <c r="B14" s="43">
        <v>0</v>
      </c>
      <c r="C14" s="55">
        <v>5.9908692108627184</v>
      </c>
      <c r="D14" s="55">
        <f t="shared" si="1"/>
        <v>5.9908692108627184</v>
      </c>
    </row>
    <row r="15">
      <c r="A15" s="41" t="s">
        <v>229</v>
      </c>
      <c r="B15" s="43">
        <v>0.797114689812081</v>
      </c>
      <c r="C15" s="55">
        <v>0.79084957261427746</v>
      </c>
      <c r="D15" s="55">
        <f t="shared" si="1"/>
        <v>-0.006265117197803538</v>
      </c>
    </row>
    <row r="16">
      <c r="A16" s="13" t="s">
        <v>230</v>
      </c>
      <c r="B16" s="46">
        <v>0.79218477154327493</v>
      </c>
      <c r="C16" s="56">
        <v>0.79401947555424168</v>
      </c>
      <c r="D16" s="56">
        <f t="shared" si="1"/>
        <v>0.0018347040109667478</v>
      </c>
    </row>
    <row r="17">
      <c r="A17" s="41" t="s">
        <v>231</v>
      </c>
      <c r="B17" s="43">
        <v>0</v>
      </c>
      <c r="C17" s="55">
        <v>0</v>
      </c>
      <c r="D17" s="55">
        <f t="shared" si="1"/>
        <v>0</v>
      </c>
    </row>
    <row r="18">
      <c r="A18" s="41" t="s">
        <v>232</v>
      </c>
      <c r="B18" s="43">
        <v>0</v>
      </c>
      <c r="C18" s="55">
        <v>0</v>
      </c>
      <c r="D18" s="55">
        <f t="shared" si="1"/>
        <v>0</v>
      </c>
    </row>
    <row r="19">
      <c r="A19" s="41" t="s">
        <v>233</v>
      </c>
      <c r="B19" s="43">
        <v>0</v>
      </c>
      <c r="C19" s="55">
        <v>0</v>
      </c>
      <c r="D19" s="55">
        <f t="shared" si="1"/>
        <v>0</v>
      </c>
    </row>
    <row r="20">
      <c r="A20" s="41" t="s">
        <v>234</v>
      </c>
      <c r="B20" s="43">
        <v>0</v>
      </c>
      <c r="C20" s="55">
        <v>0</v>
      </c>
      <c r="D20" s="55">
        <f t="shared" si="1"/>
        <v>0</v>
      </c>
    </row>
    <row r="21">
      <c r="A21" s="13" t="s">
        <v>235</v>
      </c>
      <c r="B21" s="46">
        <v>0</v>
      </c>
      <c r="C21" s="56">
        <v>0</v>
      </c>
      <c r="D21" s="56">
        <f t="shared" si="1"/>
        <v>0</v>
      </c>
    </row>
    <row r="22">
      <c r="A22" s="41"/>
      <c r="B22" s="43"/>
      <c r="C22" s="43"/>
      <c r="D22" s="43"/>
    </row>
  </sheetData>
  <pageMargins left="0.7" right="0.7" top="0.75" bottom="0.75" header="0.3" footer="0.3"/>
  <headerFooter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2"/>
  <sheetViews>
    <sheetView topLeftCell="A14" zoomScaleNormal="100" workbookViewId="0">
      <selection activeCell="I29" sqref="I29"/>
    </sheetView>
  </sheetViews>
  <sheetFormatPr defaultRowHeight="14.4" x14ac:dyDescent="0.3"/>
  <sheetData>
    <row r="1">
      <c r="A1" s="0" t="s">
        <v>25</v>
      </c>
      <c r="B1" s="0">
        <v>-6.4119156245064524</v>
      </c>
      <c r="D1" s="0" t="s">
        <v>26</v>
      </c>
      <c r="E1" s="0" t="s">
        <v>27</v>
      </c>
      <c r="F1" s="0" t="s">
        <v>28</v>
      </c>
      <c r="G1" s="0" t="s">
        <v>29</v>
      </c>
    </row>
    <row r="2">
      <c r="A2" s="0" t="s">
        <v>30</v>
      </c>
      <c r="B2" s="0">
        <v>-2.8880300990546992</v>
      </c>
      <c r="F2" s="0">
        <f>$B$121</f>
        <v>3.5235393356605731</v>
      </c>
      <c r="G2" s="0">
        <f>$B$122</f>
        <v>3.4951253049450526</v>
      </c>
      <c r="H2" s="0">
        <v>-6.5</v>
      </c>
      <c r="I2" s="0">
        <f>MIN(B1:B60)</f>
        <v>-9.94597637393758</v>
      </c>
      <c r="J2" s="0">
        <f>MIN(B61:B122)</f>
        <v>1.6995595050613501</v>
      </c>
    </row>
    <row r="3">
      <c r="A3" s="0" t="s">
        <v>31</v>
      </c>
      <c r="B3" s="0">
        <v>-3.9756852720527043</v>
      </c>
      <c r="F3" s="0">
        <f ref="F3:F60" t="shared" si="0">$B$121</f>
        <v>3.5235393356605731</v>
      </c>
      <c r="G3" s="0">
        <f ref="G3:G61" t="shared" si="1">$B$122</f>
        <v>3.4951253049450526</v>
      </c>
      <c r="H3" s="0">
        <v>6.5</v>
      </c>
      <c r="I3" s="0">
        <f>MAX(B1:B60)</f>
        <v>1.6914787601148476</v>
      </c>
      <c r="J3" s="0">
        <f>MAX(B61:B89,B91:B120)</f>
        <v>38.619476087015386</v>
      </c>
    </row>
    <row r="4">
      <c r="A4" s="0" t="s">
        <v>32</v>
      </c>
      <c r="B4" s="0">
        <v>-1.109878463409288</v>
      </c>
      <c r="F4" s="0">
        <f t="shared" si="0"/>
        <v>3.5235393356605731</v>
      </c>
      <c r="G4" s="0">
        <f t="shared" si="1"/>
        <v>3.4951253049450526</v>
      </c>
    </row>
    <row r="5">
      <c r="A5" s="0" t="s">
        <v>33</v>
      </c>
      <c r="B5" s="0">
        <v>-0.03288937764106592</v>
      </c>
      <c r="F5" s="0">
        <f t="shared" si="0"/>
        <v>3.5235393356605731</v>
      </c>
      <c r="G5" s="0">
        <f t="shared" si="1"/>
        <v>3.4951253049450526</v>
      </c>
      <c r="I5" s="58">
        <f>G5/F5-1</f>
        <v>-0.0080640594608811789</v>
      </c>
    </row>
    <row r="6">
      <c r="A6" s="0" t="s">
        <v>34</v>
      </c>
      <c r="B6" s="0">
        <v>-0.20425470707629678</v>
      </c>
      <c r="F6" s="0">
        <f t="shared" si="0"/>
        <v>3.5235393356605731</v>
      </c>
      <c r="G6" s="0">
        <f t="shared" si="1"/>
        <v>3.4951253049450526</v>
      </c>
    </row>
    <row r="7">
      <c r="A7" s="0" t="s">
        <v>35</v>
      </c>
      <c r="B7" s="0">
        <v>-0.0065921471649152963</v>
      </c>
      <c r="F7" s="0">
        <f t="shared" si="0"/>
        <v>3.5235393356605731</v>
      </c>
      <c r="G7" s="0">
        <f t="shared" si="1"/>
        <v>3.4951253049450526</v>
      </c>
    </row>
    <row r="8">
      <c r="A8" s="0" t="s">
        <v>36</v>
      </c>
      <c r="B8" s="0">
        <v>-0.27763101074929963</v>
      </c>
      <c r="F8" s="0">
        <f t="shared" si="0"/>
        <v>3.5235393356605731</v>
      </c>
      <c r="G8" s="0">
        <f t="shared" si="1"/>
        <v>3.4951253049450526</v>
      </c>
    </row>
    <row r="9">
      <c r="A9" s="0" t="s">
        <v>37</v>
      </c>
      <c r="B9" s="0">
        <v>-0.92329945291481863</v>
      </c>
      <c r="F9" s="0">
        <f t="shared" si="0"/>
        <v>3.5235393356605731</v>
      </c>
      <c r="G9" s="0">
        <f t="shared" si="1"/>
        <v>3.4951253049450526</v>
      </c>
    </row>
    <row r="10">
      <c r="A10" s="0" t="s">
        <v>38</v>
      </c>
      <c r="B10" s="0">
        <v>-0.17368140795225173</v>
      </c>
      <c r="F10" s="0">
        <f t="shared" si="0"/>
        <v>3.5235393356605731</v>
      </c>
      <c r="G10" s="0">
        <f t="shared" si="1"/>
        <v>3.4951253049450526</v>
      </c>
    </row>
    <row r="11">
      <c r="A11" s="0" t="s">
        <v>39</v>
      </c>
      <c r="B11" s="0">
        <v>-0.0033646964227653786</v>
      </c>
      <c r="F11" s="0">
        <f t="shared" si="0"/>
        <v>3.5235393356605731</v>
      </c>
      <c r="G11" s="0">
        <f t="shared" si="1"/>
        <v>3.4951253049450526</v>
      </c>
    </row>
    <row r="12">
      <c r="A12" s="0" t="s">
        <v>40</v>
      </c>
      <c r="B12" s="0">
        <v>0.16852597137680903</v>
      </c>
      <c r="F12" s="0">
        <f t="shared" si="0"/>
        <v>3.5235393356605731</v>
      </c>
      <c r="G12" s="0">
        <f t="shared" si="1"/>
        <v>3.4951253049450526</v>
      </c>
    </row>
    <row r="13">
      <c r="A13" s="0" t="s">
        <v>41</v>
      </c>
      <c r="B13" s="0">
        <v>0.0344548279067185</v>
      </c>
      <c r="F13" s="0">
        <f t="shared" si="0"/>
        <v>3.5235393356605731</v>
      </c>
      <c r="G13" s="0">
        <f t="shared" si="1"/>
        <v>3.4951253049450526</v>
      </c>
    </row>
    <row r="14">
      <c r="A14" s="0" t="s">
        <v>42</v>
      </c>
      <c r="B14" s="0">
        <v>0.071645482582997744</v>
      </c>
      <c r="F14" s="0">
        <f t="shared" si="0"/>
        <v>3.5235393356605731</v>
      </c>
      <c r="G14" s="0">
        <f t="shared" si="1"/>
        <v>3.4951253049450526</v>
      </c>
    </row>
    <row r="15">
      <c r="A15" s="0" t="s">
        <v>43</v>
      </c>
      <c r="B15" s="0">
        <v>0.30740635271614991</v>
      </c>
      <c r="F15" s="0">
        <f t="shared" si="0"/>
        <v>3.5235393356605731</v>
      </c>
      <c r="G15" s="0">
        <f t="shared" si="1"/>
        <v>3.4951253049450526</v>
      </c>
    </row>
    <row r="16">
      <c r="A16" s="0" t="s">
        <v>44</v>
      </c>
      <c r="B16" s="0">
        <v>-0.062576838179825955</v>
      </c>
      <c r="F16" s="0">
        <f t="shared" si="0"/>
        <v>3.5235393356605731</v>
      </c>
      <c r="G16" s="0">
        <f t="shared" si="1"/>
        <v>3.4951253049450526</v>
      </c>
    </row>
    <row r="17">
      <c r="A17" s="0" t="s">
        <v>45</v>
      </c>
      <c r="B17" s="0">
        <v>-0.0015736358936138117</v>
      </c>
      <c r="F17" s="0">
        <f t="shared" si="0"/>
        <v>3.5235393356605731</v>
      </c>
      <c r="G17" s="0">
        <f t="shared" si="1"/>
        <v>3.4951253049450526</v>
      </c>
    </row>
    <row r="18">
      <c r="A18" s="0" t="s">
        <v>46</v>
      </c>
      <c r="B18" s="0">
        <v>-0.057988365046508505</v>
      </c>
      <c r="F18" s="0">
        <f t="shared" si="0"/>
        <v>3.5235393356605731</v>
      </c>
      <c r="G18" s="0">
        <f t="shared" si="1"/>
        <v>3.4951253049450526</v>
      </c>
    </row>
    <row r="19">
      <c r="A19" s="0" t="s">
        <v>47</v>
      </c>
      <c r="B19" s="0">
        <v>-0.034966324508374669</v>
      </c>
      <c r="F19" s="0">
        <f t="shared" si="0"/>
        <v>3.5235393356605731</v>
      </c>
      <c r="G19" s="0">
        <f t="shared" si="1"/>
        <v>3.4951253049450526</v>
      </c>
    </row>
    <row r="20">
      <c r="A20" s="0" t="s">
        <v>48</v>
      </c>
      <c r="B20" s="0">
        <v>0.069172019090938619</v>
      </c>
      <c r="F20" s="0">
        <f t="shared" si="0"/>
        <v>3.5235393356605731</v>
      </c>
      <c r="G20" s="0">
        <f t="shared" si="1"/>
        <v>3.4951253049450526</v>
      </c>
    </row>
    <row r="21">
      <c r="A21" s="0" t="s">
        <v>49</v>
      </c>
      <c r="B21" s="0">
        <v>-1.2423476481606652</v>
      </c>
      <c r="F21" s="0">
        <f t="shared" si="0"/>
        <v>3.5235393356605731</v>
      </c>
      <c r="G21" s="0">
        <f t="shared" si="1"/>
        <v>3.4951253049450526</v>
      </c>
    </row>
    <row r="22">
      <c r="A22" s="0" t="s">
        <v>50</v>
      </c>
      <c r="B22" s="0">
        <v>-3.9305745940641614</v>
      </c>
      <c r="F22" s="0">
        <f t="shared" si="0"/>
        <v>3.5235393356605731</v>
      </c>
      <c r="G22" s="0">
        <f t="shared" si="1"/>
        <v>3.4951253049450526</v>
      </c>
    </row>
    <row r="23">
      <c r="A23" s="0" t="s">
        <v>51</v>
      </c>
      <c r="B23" s="0">
        <v>-0.20535840327446842</v>
      </c>
      <c r="F23" s="0">
        <f t="shared" si="0"/>
        <v>3.5235393356605731</v>
      </c>
      <c r="G23" s="0">
        <f t="shared" si="1"/>
        <v>3.4951253049450526</v>
      </c>
    </row>
    <row r="24">
      <c r="A24" s="0" t="s">
        <v>52</v>
      </c>
      <c r="B24" s="0">
        <v>-0.18050707547769207</v>
      </c>
      <c r="F24" s="0">
        <f t="shared" si="0"/>
        <v>3.5235393356605731</v>
      </c>
      <c r="G24" s="0">
        <f t="shared" si="1"/>
        <v>3.4951253049450526</v>
      </c>
    </row>
    <row r="25">
      <c r="A25" s="0" t="s">
        <v>53</v>
      </c>
      <c r="B25" s="0">
        <v>-9.94597637393758</v>
      </c>
      <c r="F25" s="0">
        <f t="shared" si="0"/>
        <v>3.5235393356605731</v>
      </c>
      <c r="G25" s="0">
        <f t="shared" si="1"/>
        <v>3.4951253049450526</v>
      </c>
    </row>
    <row r="26">
      <c r="A26" s="0" t="s">
        <v>54</v>
      </c>
      <c r="B26" s="0">
        <v>-0.080463861139897119</v>
      </c>
      <c r="F26" s="0">
        <f t="shared" si="0"/>
        <v>3.5235393356605731</v>
      </c>
      <c r="G26" s="0">
        <f t="shared" si="1"/>
        <v>3.4951253049450526</v>
      </c>
    </row>
    <row r="27">
      <c r="A27" s="0" t="s">
        <v>55</v>
      </c>
      <c r="B27" s="0">
        <v>-3.0421332748708956</v>
      </c>
      <c r="F27" s="0">
        <f t="shared" si="0"/>
        <v>3.5235393356605731</v>
      </c>
      <c r="G27" s="0">
        <f t="shared" si="1"/>
        <v>3.4951253049450526</v>
      </c>
    </row>
    <row r="28">
      <c r="A28" s="0" t="s">
        <v>56</v>
      </c>
      <c r="B28" s="0">
        <v>-0.013204121234306143</v>
      </c>
      <c r="F28" s="0">
        <f t="shared" si="0"/>
        <v>3.5235393356605731</v>
      </c>
      <c r="G28" s="0">
        <f t="shared" si="1"/>
        <v>3.4951253049450526</v>
      </c>
    </row>
    <row r="29">
      <c r="A29" s="0" t="s">
        <v>57</v>
      </c>
      <c r="B29" s="0">
        <v>-0.047530353206362008</v>
      </c>
      <c r="F29" s="0">
        <f t="shared" si="0"/>
        <v>3.5235393356605731</v>
      </c>
      <c r="G29" s="0">
        <f t="shared" si="1"/>
        <v>3.4951253049450526</v>
      </c>
    </row>
    <row r="30">
      <c r="A30" s="0" t="s">
        <v>58</v>
      </c>
      <c r="B30" s="0">
        <v>-0.0653299025454811</v>
      </c>
      <c r="F30" s="0">
        <f t="shared" si="0"/>
        <v>3.5235393356605731</v>
      </c>
      <c r="G30" s="0">
        <f t="shared" si="1"/>
        <v>3.4951253049450526</v>
      </c>
    </row>
    <row r="31">
      <c r="A31" s="0" t="s">
        <v>59</v>
      </c>
      <c r="B31" s="0">
        <v>0.083230321315024725</v>
      </c>
      <c r="F31" s="0">
        <f t="shared" si="0"/>
        <v>3.5235393356605731</v>
      </c>
      <c r="G31" s="0">
        <f t="shared" si="1"/>
        <v>3.4951253049450526</v>
      </c>
    </row>
    <row r="32">
      <c r="A32" s="0" t="s">
        <v>60</v>
      </c>
      <c r="B32" s="0">
        <v>-0.0054781681320079656</v>
      </c>
      <c r="F32" s="0">
        <f t="shared" si="0"/>
        <v>3.5235393356605731</v>
      </c>
      <c r="G32" s="0">
        <f t="shared" si="1"/>
        <v>3.4951253049450526</v>
      </c>
    </row>
    <row r="33">
      <c r="A33" s="0" t="s">
        <v>61</v>
      </c>
      <c r="B33" s="0">
        <v>1.6914787601148476</v>
      </c>
      <c r="F33" s="0">
        <f t="shared" si="0"/>
        <v>3.5235393356605731</v>
      </c>
      <c r="G33" s="0">
        <f t="shared" si="1"/>
        <v>3.4951253049450526</v>
      </c>
    </row>
    <row r="34">
      <c r="A34" s="0" t="s">
        <v>62</v>
      </c>
      <c r="B34" s="0">
        <v>-0.0753014702733168</v>
      </c>
      <c r="F34" s="0">
        <f t="shared" si="0"/>
        <v>3.5235393356605731</v>
      </c>
      <c r="G34" s="0">
        <f t="shared" si="1"/>
        <v>3.4951253049450526</v>
      </c>
    </row>
    <row r="35">
      <c r="A35" s="0" t="s">
        <v>63</v>
      </c>
      <c r="B35" s="0">
        <v>0.0048867170479187649</v>
      </c>
      <c r="F35" s="0">
        <f t="shared" si="0"/>
        <v>3.5235393356605731</v>
      </c>
      <c r="G35" s="0">
        <f t="shared" si="1"/>
        <v>3.4951253049450526</v>
      </c>
    </row>
    <row r="36">
      <c r="A36" s="0" t="s">
        <v>64</v>
      </c>
      <c r="B36" s="0">
        <v>-0.025691022977252231</v>
      </c>
      <c r="F36" s="0">
        <f t="shared" si="0"/>
        <v>3.5235393356605731</v>
      </c>
      <c r="G36" s="0">
        <f t="shared" si="1"/>
        <v>3.4951253049450526</v>
      </c>
    </row>
    <row r="37">
      <c r="A37" s="0" t="s">
        <v>65</v>
      </c>
      <c r="B37" s="0">
        <v>0.10564598694790739</v>
      </c>
      <c r="F37" s="0">
        <f t="shared" si="0"/>
        <v>3.5235393356605731</v>
      </c>
      <c r="G37" s="0">
        <f t="shared" si="1"/>
        <v>3.4951253049450526</v>
      </c>
    </row>
    <row r="38">
      <c r="A38" s="0" t="s">
        <v>66</v>
      </c>
      <c r="B38" s="0">
        <v>-0.16168596485129427</v>
      </c>
      <c r="F38" s="0">
        <f t="shared" si="0"/>
        <v>3.5235393356605731</v>
      </c>
      <c r="G38" s="0">
        <f t="shared" si="1"/>
        <v>3.4951253049450526</v>
      </c>
    </row>
    <row r="39">
      <c r="A39" s="0" t="s">
        <v>67</v>
      </c>
      <c r="B39" s="0">
        <v>1.0911414276640414</v>
      </c>
      <c r="F39" s="0">
        <f t="shared" si="0"/>
        <v>3.5235393356605731</v>
      </c>
      <c r="G39" s="0">
        <f t="shared" si="1"/>
        <v>3.4951253049450526</v>
      </c>
    </row>
    <row r="40">
      <c r="A40" s="0" t="s">
        <v>68</v>
      </c>
      <c r="B40" s="0">
        <v>0.16631862450320512</v>
      </c>
      <c r="F40" s="0">
        <f t="shared" si="0"/>
        <v>3.5235393356605731</v>
      </c>
      <c r="G40" s="0">
        <f t="shared" si="1"/>
        <v>3.4951253049450526</v>
      </c>
    </row>
    <row r="41">
      <c r="A41" s="0" t="s">
        <v>69</v>
      </c>
      <c r="B41" s="0">
        <v>-0.095239406504518342</v>
      </c>
      <c r="F41" s="0">
        <f t="shared" si="0"/>
        <v>3.5235393356605731</v>
      </c>
      <c r="G41" s="0">
        <f t="shared" si="1"/>
        <v>3.4951253049450526</v>
      </c>
    </row>
    <row r="42">
      <c r="A42" s="0" t="s">
        <v>70</v>
      </c>
      <c r="B42" s="0">
        <v>0.31197456762456</v>
      </c>
      <c r="F42" s="0">
        <f t="shared" si="0"/>
        <v>3.5235393356605731</v>
      </c>
      <c r="G42" s="0">
        <f t="shared" si="1"/>
        <v>3.4951253049450526</v>
      </c>
    </row>
    <row r="43">
      <c r="A43" s="0" t="s">
        <v>71</v>
      </c>
      <c r="B43" s="0">
        <v>-0.055030054800761175</v>
      </c>
      <c r="F43" s="0">
        <f t="shared" si="0"/>
        <v>3.5235393356605731</v>
      </c>
      <c r="G43" s="0">
        <f t="shared" si="1"/>
        <v>3.4951253049450526</v>
      </c>
    </row>
    <row r="44">
      <c r="A44" s="0" t="s">
        <v>72</v>
      </c>
      <c r="B44" s="0">
        <v>0.21847273970633552</v>
      </c>
      <c r="F44" s="0">
        <f t="shared" si="0"/>
        <v>3.5235393356605731</v>
      </c>
      <c r="G44" s="0">
        <f t="shared" si="1"/>
        <v>3.4951253049450526</v>
      </c>
    </row>
    <row r="45">
      <c r="A45" s="0" t="s">
        <v>73</v>
      </c>
      <c r="B45" s="0">
        <v>-0.064081890955897336</v>
      </c>
      <c r="F45" s="0">
        <f t="shared" si="0"/>
        <v>3.5235393356605731</v>
      </c>
      <c r="G45" s="0">
        <f t="shared" si="1"/>
        <v>3.4951253049450526</v>
      </c>
    </row>
    <row r="46">
      <c r="A46" s="0" t="s">
        <v>74</v>
      </c>
      <c r="B46" s="0">
        <v>-0.0081791253929788255</v>
      </c>
      <c r="F46" s="0">
        <f t="shared" si="0"/>
        <v>3.5235393356605731</v>
      </c>
      <c r="G46" s="0">
        <f t="shared" si="1"/>
        <v>3.4951253049450526</v>
      </c>
    </row>
    <row r="47">
      <c r="A47" s="0" t="s">
        <v>75</v>
      </c>
      <c r="B47" s="0">
        <v>-0.13412212965906889</v>
      </c>
      <c r="F47" s="0">
        <f t="shared" si="0"/>
        <v>3.5235393356605731</v>
      </c>
      <c r="G47" s="0">
        <f t="shared" si="1"/>
        <v>3.4951253049450526</v>
      </c>
    </row>
    <row r="48">
      <c r="A48" s="0" t="s">
        <v>76</v>
      </c>
      <c r="B48" s="0">
        <v>-0.41870028175317486</v>
      </c>
      <c r="F48" s="0">
        <f t="shared" si="0"/>
        <v>3.5235393356605731</v>
      </c>
      <c r="G48" s="0">
        <f t="shared" si="1"/>
        <v>3.4951253049450526</v>
      </c>
    </row>
    <row r="49">
      <c r="A49" s="0" t="s">
        <v>77</v>
      </c>
      <c r="B49" s="0">
        <v>0.27327600403123142</v>
      </c>
      <c r="F49" s="0">
        <f t="shared" si="0"/>
        <v>3.5235393356605731</v>
      </c>
      <c r="G49" s="0">
        <f t="shared" si="1"/>
        <v>3.4951253049450526</v>
      </c>
    </row>
    <row r="50">
      <c r="A50" s="0" t="s">
        <v>78</v>
      </c>
      <c r="B50" s="0">
        <v>0.86058650737822973</v>
      </c>
      <c r="F50" s="0">
        <f t="shared" si="0"/>
        <v>3.5235393356605731</v>
      </c>
      <c r="G50" s="0">
        <f t="shared" si="1"/>
        <v>3.4951253049450526</v>
      </c>
    </row>
    <row r="51">
      <c r="A51" s="0" t="s">
        <v>79</v>
      </c>
      <c r="B51" s="0">
        <v>-0.58596149740570524</v>
      </c>
      <c r="F51" s="0">
        <f t="shared" si="0"/>
        <v>3.5235393356605731</v>
      </c>
      <c r="G51" s="0">
        <f t="shared" si="1"/>
        <v>3.4951253049450526</v>
      </c>
    </row>
    <row r="52">
      <c r="A52" s="0" t="s">
        <v>80</v>
      </c>
      <c r="B52" s="0">
        <v>-0.11232492777217829</v>
      </c>
      <c r="F52" s="0">
        <f t="shared" si="0"/>
        <v>3.5235393356605731</v>
      </c>
      <c r="G52" s="0">
        <f t="shared" si="1"/>
        <v>3.4951253049450526</v>
      </c>
    </row>
    <row r="53">
      <c r="A53" s="0" t="s">
        <v>81</v>
      </c>
      <c r="B53" s="0">
        <v>-0.5311759497853501</v>
      </c>
      <c r="F53" s="0">
        <f t="shared" si="0"/>
        <v>3.5235393356605731</v>
      </c>
      <c r="G53" s="0">
        <f t="shared" si="1"/>
        <v>3.4951253049450526</v>
      </c>
    </row>
    <row r="54">
      <c r="A54" s="0" t="s">
        <v>82</v>
      </c>
      <c r="B54" s="0">
        <v>0.11421301966282371</v>
      </c>
      <c r="F54" s="0">
        <f t="shared" si="0"/>
        <v>3.5235393356605731</v>
      </c>
      <c r="G54" s="0">
        <f t="shared" si="1"/>
        <v>3.4951253049450526</v>
      </c>
    </row>
    <row r="55">
      <c r="A55" s="0" t="s">
        <v>83</v>
      </c>
      <c r="B55" s="0">
        <v>-0.01811649221919609</v>
      </c>
      <c r="F55" s="0">
        <f t="shared" si="0"/>
        <v>3.5235393356605731</v>
      </c>
      <c r="G55" s="0">
        <f t="shared" si="1"/>
        <v>3.4951253049450526</v>
      </c>
    </row>
    <row r="56">
      <c r="A56" s="0" t="s">
        <v>84</v>
      </c>
      <c r="B56" s="0">
        <v>-0.02528569295986216</v>
      </c>
      <c r="F56" s="0">
        <f t="shared" si="0"/>
        <v>3.5235393356605731</v>
      </c>
      <c r="G56" s="0">
        <f t="shared" si="1"/>
        <v>3.4951253049450526</v>
      </c>
    </row>
    <row r="57">
      <c r="A57" s="0" t="s">
        <v>85</v>
      </c>
      <c r="B57" s="0">
        <v>-1.1714763268803097</v>
      </c>
      <c r="F57" s="0">
        <f t="shared" si="0"/>
        <v>3.5235393356605731</v>
      </c>
      <c r="G57" s="0">
        <f t="shared" si="1"/>
        <v>3.4951253049450526</v>
      </c>
    </row>
    <row r="58">
      <c r="A58" s="0" t="s">
        <v>86</v>
      </c>
      <c r="B58" s="0">
        <v>0.60714679580451048</v>
      </c>
      <c r="F58" s="0">
        <f t="shared" si="0"/>
        <v>3.5235393356605731</v>
      </c>
      <c r="G58" s="0">
        <f t="shared" si="1"/>
        <v>3.4951253049450526</v>
      </c>
    </row>
    <row r="59">
      <c r="A59" s="0" t="s">
        <v>87</v>
      </c>
      <c r="B59" s="0">
        <v>-4.6046189790425842</v>
      </c>
      <c r="F59" s="0">
        <f t="shared" si="0"/>
        <v>3.5235393356605731</v>
      </c>
      <c r="G59" s="0">
        <f t="shared" si="1"/>
        <v>3.4951253049450526</v>
      </c>
    </row>
    <row r="60">
      <c r="A60" s="0" t="s">
        <v>88</v>
      </c>
      <c r="B60" s="0">
        <v>-4.106609765188864</v>
      </c>
      <c r="F60" s="0">
        <f t="shared" si="0"/>
        <v>3.5235393356605731</v>
      </c>
      <c r="G60" s="0">
        <f t="shared" si="1"/>
        <v>3.4951253049450526</v>
      </c>
    </row>
    <row r="61">
      <c r="A61" s="0" t="s">
        <v>151</v>
      </c>
      <c r="B61" s="0">
        <v>7.6182570184283964</v>
      </c>
      <c r="G61" s="0">
        <f t="shared" si="1"/>
        <v>3.4951253049450526</v>
      </c>
    </row>
    <row r="62">
      <c r="A62" s="0" t="s">
        <v>152</v>
      </c>
      <c r="B62" s="0">
        <v>11.232986544363275</v>
      </c>
    </row>
    <row r="63">
      <c r="A63" s="0" t="s">
        <v>153</v>
      </c>
      <c r="B63" s="0">
        <v>17.282840536999885</v>
      </c>
    </row>
    <row r="64">
      <c r="A64" s="0" t="s">
        <v>154</v>
      </c>
      <c r="B64" s="0">
        <v>6.5320324895280688</v>
      </c>
    </row>
    <row r="65">
      <c r="A65" s="0" t="s">
        <v>155</v>
      </c>
      <c r="B65" s="0">
        <v>5.7983515693853374</v>
      </c>
    </row>
    <row r="66">
      <c r="A66" s="0" t="s">
        <v>156</v>
      </c>
      <c r="B66" s="0">
        <v>4.2823311285934347</v>
      </c>
    </row>
    <row r="67">
      <c r="A67" s="0" t="s">
        <v>157</v>
      </c>
      <c r="B67" s="0">
        <v>6.5722436951059</v>
      </c>
    </row>
    <row r="68">
      <c r="A68" s="0" t="s">
        <v>158</v>
      </c>
      <c r="B68" s="0">
        <v>10.810357912516537</v>
      </c>
    </row>
    <row r="69">
      <c r="A69" s="0" t="s">
        <v>159</v>
      </c>
      <c r="B69" s="0">
        <v>4.0197072177493922</v>
      </c>
    </row>
    <row r="70">
      <c r="A70" s="0" t="s">
        <v>160</v>
      </c>
      <c r="B70" s="0">
        <v>2.9967761029550726</v>
      </c>
    </row>
    <row r="71">
      <c r="A71" s="0" t="s">
        <v>161</v>
      </c>
      <c r="B71" s="0">
        <v>19.667306427840153</v>
      </c>
    </row>
    <row r="72">
      <c r="A72" s="0" t="s">
        <v>162</v>
      </c>
      <c r="B72" s="0">
        <v>18.780313500497673</v>
      </c>
    </row>
    <row r="73">
      <c r="A73" s="0" t="s">
        <v>163</v>
      </c>
      <c r="B73" s="0">
        <v>5.9038031860863649</v>
      </c>
    </row>
    <row r="74">
      <c r="A74" s="0" t="s">
        <v>164</v>
      </c>
      <c r="B74" s="0">
        <v>5.7962839648832531</v>
      </c>
    </row>
    <row r="75">
      <c r="A75" s="0" t="s">
        <v>165</v>
      </c>
      <c r="B75" s="0">
        <v>4.241993099146697</v>
      </c>
    </row>
    <row r="76">
      <c r="A76" s="0" t="s">
        <v>166</v>
      </c>
      <c r="B76" s="0">
        <v>1.9936671499234302</v>
      </c>
    </row>
    <row r="77">
      <c r="A77" s="0" t="s">
        <v>167</v>
      </c>
      <c r="B77" s="0">
        <v>7.03835564445824</v>
      </c>
    </row>
    <row r="78">
      <c r="A78" s="0" t="s">
        <v>168</v>
      </c>
      <c r="B78" s="0">
        <v>7.1371973824202275</v>
      </c>
    </row>
    <row r="79">
      <c r="A79" s="0" t="s">
        <v>169</v>
      </c>
      <c r="B79" s="0">
        <v>7.4924948342526694</v>
      </c>
    </row>
    <row r="80">
      <c r="A80" s="0" t="s">
        <v>170</v>
      </c>
      <c r="B80" s="0">
        <v>10.040479471550876</v>
      </c>
    </row>
    <row r="81">
      <c r="A81" s="0" t="s">
        <v>171</v>
      </c>
      <c r="B81" s="0">
        <v>6.7655913961252967</v>
      </c>
    </row>
    <row r="82">
      <c r="A82" s="0" t="s">
        <v>172</v>
      </c>
      <c r="B82" s="0">
        <v>7.3848980160645379</v>
      </c>
    </row>
    <row r="83">
      <c r="A83" s="0" t="s">
        <v>173</v>
      </c>
      <c r="B83" s="0">
        <v>4.2702159989366857</v>
      </c>
    </row>
    <row r="84">
      <c r="A84" s="0" t="s">
        <v>174</v>
      </c>
      <c r="B84" s="0">
        <v>11.87398793515186</v>
      </c>
    </row>
    <row r="85">
      <c r="A85" s="0" t="s">
        <v>175</v>
      </c>
      <c r="B85" s="0">
        <v>11.283364864024986</v>
      </c>
    </row>
    <row r="86">
      <c r="A86" s="0" t="s">
        <v>176</v>
      </c>
      <c r="B86" s="0">
        <v>4.0164188384402042</v>
      </c>
    </row>
    <row r="87">
      <c r="A87" s="0" t="s">
        <v>177</v>
      </c>
      <c r="B87" s="0">
        <v>9.2306206130094512</v>
      </c>
    </row>
    <row r="88">
      <c r="A88" s="0" t="s">
        <v>178</v>
      </c>
      <c r="B88" s="0">
        <v>3.5377724164635276</v>
      </c>
    </row>
    <row r="89">
      <c r="A89" s="0" t="s">
        <v>179</v>
      </c>
      <c r="B89" s="0">
        <v>38.619476087015386</v>
      </c>
    </row>
    <row r="90">
      <c r="A90" s="0" t="s">
        <v>180</v>
      </c>
      <c r="B90" s="0">
        <v>145.97422505764698</v>
      </c>
    </row>
    <row r="91">
      <c r="A91" s="0" t="s">
        <v>181</v>
      </c>
      <c r="B91" s="0">
        <v>6.1868362468716009</v>
      </c>
    </row>
    <row r="92">
      <c r="A92" s="0" t="s">
        <v>182</v>
      </c>
      <c r="B92" s="0">
        <v>7.54627174109197</v>
      </c>
    </row>
    <row r="93">
      <c r="A93" s="0" t="s">
        <v>183</v>
      </c>
      <c r="B93" s="0">
        <v>6.2316062043503981</v>
      </c>
    </row>
    <row r="94">
      <c r="A94" s="0" t="s">
        <v>184</v>
      </c>
      <c r="B94" s="0">
        <v>3.9675215922333074</v>
      </c>
    </row>
    <row r="95">
      <c r="A95" s="0" t="s">
        <v>185</v>
      </c>
      <c r="B95" s="0">
        <v>3.3376906953691106</v>
      </c>
    </row>
    <row r="96">
      <c r="A96" s="0" t="s">
        <v>186</v>
      </c>
      <c r="B96" s="0">
        <v>3.8846880766069067</v>
      </c>
    </row>
    <row r="97">
      <c r="A97" s="0" t="s">
        <v>187</v>
      </c>
      <c r="B97" s="0">
        <v>4.9188151096808141</v>
      </c>
    </row>
    <row r="98">
      <c r="A98" s="0" t="s">
        <v>188</v>
      </c>
      <c r="B98" s="0">
        <v>3.2398683887437896</v>
      </c>
    </row>
    <row r="99">
      <c r="A99" s="0" t="s">
        <v>189</v>
      </c>
      <c r="B99" s="0">
        <v>7.8005118460112435</v>
      </c>
    </row>
    <row r="100">
      <c r="A100" s="0" t="s">
        <v>190</v>
      </c>
      <c r="B100" s="0">
        <v>3.6821564626412595</v>
      </c>
    </row>
    <row r="101">
      <c r="A101" s="0" t="s">
        <v>191</v>
      </c>
      <c r="B101" s="0">
        <v>7.2522724613870446</v>
      </c>
    </row>
    <row r="102">
      <c r="A102" s="0" t="s">
        <v>192</v>
      </c>
      <c r="B102" s="0">
        <v>8.24899897967754</v>
      </c>
    </row>
    <row r="103">
      <c r="A103" s="0" t="s">
        <v>193</v>
      </c>
      <c r="B103" s="0">
        <v>15.409224698952817</v>
      </c>
    </row>
    <row r="104">
      <c r="A104" s="0" t="s">
        <v>194</v>
      </c>
      <c r="B104" s="0">
        <v>11.431733770402435</v>
      </c>
    </row>
    <row r="105">
      <c r="A105" s="0" t="s">
        <v>195</v>
      </c>
      <c r="B105" s="0">
        <v>17.3252289594578</v>
      </c>
    </row>
    <row r="106">
      <c r="A106" s="0" t="s">
        <v>196</v>
      </c>
      <c r="B106" s="0">
        <v>17.855406495260443</v>
      </c>
    </row>
    <row r="107">
      <c r="A107" s="0" t="s">
        <v>197</v>
      </c>
      <c r="B107" s="0">
        <v>6.12047928958217</v>
      </c>
    </row>
    <row r="108">
      <c r="A108" s="0" t="s">
        <v>198</v>
      </c>
      <c r="B108" s="0">
        <v>3.7155351234645404</v>
      </c>
    </row>
    <row r="109">
      <c r="A109" s="0" t="s">
        <v>199</v>
      </c>
      <c r="B109" s="0">
        <v>6.123015639710796</v>
      </c>
    </row>
    <row r="110">
      <c r="A110" s="0" t="s">
        <v>200</v>
      </c>
      <c r="B110" s="0">
        <v>3.6698358255375179</v>
      </c>
    </row>
    <row r="111">
      <c r="A111" s="0" t="s">
        <v>201</v>
      </c>
      <c r="B111" s="0">
        <v>2.0643459791876611</v>
      </c>
    </row>
    <row r="112">
      <c r="A112" s="0" t="s">
        <v>202</v>
      </c>
      <c r="B112" s="0">
        <v>2.7975969611960938</v>
      </c>
    </row>
    <row r="113">
      <c r="A113" s="0" t="s">
        <v>203</v>
      </c>
      <c r="B113" s="0">
        <v>3.4744398921597743</v>
      </c>
    </row>
    <row r="114">
      <c r="A114" s="0" t="s">
        <v>204</v>
      </c>
      <c r="B114" s="0">
        <v>4.1605390829670137</v>
      </c>
    </row>
    <row r="115">
      <c r="A115" s="0" t="s">
        <v>205</v>
      </c>
      <c r="B115" s="0">
        <v>4.0556930724360205</v>
      </c>
    </row>
    <row r="116">
      <c r="A116" s="0" t="s">
        <v>206</v>
      </c>
      <c r="B116" s="0">
        <v>3.4142006761037789</v>
      </c>
    </row>
    <row r="117">
      <c r="A117" s="0" t="s">
        <v>207</v>
      </c>
      <c r="B117" s="0">
        <v>33.173212094196046</v>
      </c>
    </row>
    <row r="118">
      <c r="A118" s="0" t="s">
        <v>208</v>
      </c>
      <c r="B118" s="0">
        <v>4.5697995482635427</v>
      </c>
    </row>
    <row r="119">
      <c r="A119" s="0" t="s">
        <v>209</v>
      </c>
      <c r="B119" s="0">
        <v>1.6995595050613501</v>
      </c>
    </row>
    <row r="120">
      <c r="A120" s="0" t="s">
        <v>210</v>
      </c>
      <c r="B120" s="0">
        <v>3.5007160018229282</v>
      </c>
    </row>
    <row r="121">
      <c r="A121" s="0" t="s">
        <v>211</v>
      </c>
      <c r="B121" s="0">
        <v>3.5235393356605731</v>
      </c>
    </row>
    <row r="122">
      <c r="A122" s="0" t="s">
        <v>212</v>
      </c>
      <c r="B122" s="0">
        <v>3.4951253049450526</v>
      </c>
    </row>
  </sheetData>
  <conditionalFormatting sqref="B61:B12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{734BD3D3-444E-4870-818F-12FDD7812B08}</x14:id>
        </ext>
      </extLst>
    </cfRule>
  </conditionalFormatting>
  <conditionalFormatting sqref="B1:B6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{93ADD2A9-C388-498A-8C57-BF40F3CB74FC}</x14:id>
        </ext>
      </extLst>
    </cfRule>
  </conditionalFormatting>
  <pageMargins left="0.7" right="0.7" top="0.75" bottom="0.75" header="0.3" footer="0.3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4BD3D3-444E-4870-818F-12FDD7812B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B61:B121</xm:sqref>
        </x14:conditionalFormatting>
        <x14:conditionalFormatting xmlns:xm="http://schemas.microsoft.com/office/excel/2006/main">
          <x14:cfRule type="dataBar" id="{93ADD2A9-C388-498A-8C57-BF40F3CB74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B1:B60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2"/>
  <sheetViews>
    <sheetView topLeftCell="A10" zoomScaleNormal="100" workbookViewId="0">
      <selection activeCell="J16" sqref="J16"/>
    </sheetView>
  </sheetViews>
  <sheetFormatPr defaultRowHeight="14.4" x14ac:dyDescent="0.3"/>
  <sheetData>
    <row r="1">
      <c r="A1" s="0" t="s">
        <v>25</v>
      </c>
      <c r="B1" s="0">
        <v>-6.4119156245064524</v>
      </c>
      <c r="D1" s="0" t="s">
        <v>26</v>
      </c>
      <c r="E1" s="0" t="s">
        <v>27</v>
      </c>
      <c r="F1" s="0" t="s">
        <v>28</v>
      </c>
      <c r="G1" s="0" t="s">
        <v>29</v>
      </c>
    </row>
    <row r="2">
      <c r="A2" s="0" t="s">
        <v>30</v>
      </c>
      <c r="B2" s="0">
        <v>-2.8880300990546992</v>
      </c>
      <c r="F2" s="0">
        <f>$B$121</f>
        <v>0.050275393692950754</v>
      </c>
      <c r="G2" s="0">
        <f>$B$122</f>
        <v>0.050567131035551577</v>
      </c>
      <c r="H2" s="0">
        <v>-6.5</v>
      </c>
      <c r="I2" s="0">
        <f>MIN(B1:B60)</f>
        <v>-9.94597637393758</v>
      </c>
    </row>
    <row r="3">
      <c r="A3" s="0" t="s">
        <v>31</v>
      </c>
      <c r="B3" s="0">
        <v>-3.9756852720527043</v>
      </c>
      <c r="F3" s="0">
        <f ref="F3:F60" t="shared" si="0">$B$121</f>
        <v>0.050275393692950754</v>
      </c>
      <c r="G3" s="0">
        <f ref="G3:G61" t="shared" si="1">$B$122</f>
        <v>0.050567131035551577</v>
      </c>
      <c r="H3" s="0">
        <v>6.5</v>
      </c>
      <c r="I3" s="0">
        <f>MAX(B1:B60)</f>
        <v>1.6914787601148476</v>
      </c>
    </row>
    <row r="4">
      <c r="A4" s="0" t="s">
        <v>32</v>
      </c>
      <c r="B4" s="0">
        <v>-1.109878463409288</v>
      </c>
      <c r="F4" s="0">
        <f t="shared" si="0"/>
        <v>0.050275393692950754</v>
      </c>
      <c r="G4" s="0">
        <f t="shared" si="1"/>
        <v>0.050567131035551577</v>
      </c>
    </row>
    <row r="5">
      <c r="A5" s="0" t="s">
        <v>33</v>
      </c>
      <c r="B5" s="0">
        <v>-0.03288937764106592</v>
      </c>
      <c r="F5" s="0">
        <f t="shared" si="0"/>
        <v>0.050275393692950754</v>
      </c>
      <c r="G5" s="0">
        <f t="shared" si="1"/>
        <v>0.050567131035551577</v>
      </c>
    </row>
    <row r="6">
      <c r="A6" s="0" t="s">
        <v>34</v>
      </c>
      <c r="B6" s="0">
        <v>-0.20425470707629678</v>
      </c>
      <c r="F6" s="0">
        <f t="shared" si="0"/>
        <v>0.050275393692950754</v>
      </c>
      <c r="G6" s="0">
        <f t="shared" si="1"/>
        <v>0.050567131035551577</v>
      </c>
      <c r="I6" s="58">
        <f>G6/F6-1</f>
        <v>0.00580278583958127</v>
      </c>
    </row>
    <row r="7">
      <c r="A7" s="0" t="s">
        <v>35</v>
      </c>
      <c r="B7" s="0">
        <v>-0.0065921471649152963</v>
      </c>
      <c r="F7" s="0">
        <f t="shared" si="0"/>
        <v>0.050275393692950754</v>
      </c>
      <c r="G7" s="0">
        <f t="shared" si="1"/>
        <v>0.050567131035551577</v>
      </c>
    </row>
    <row r="8">
      <c r="A8" s="0" t="s">
        <v>36</v>
      </c>
      <c r="B8" s="0">
        <v>-0.27763101074929963</v>
      </c>
      <c r="F8" s="0">
        <f t="shared" si="0"/>
        <v>0.050275393692950754</v>
      </c>
      <c r="G8" s="0">
        <f t="shared" si="1"/>
        <v>0.050567131035551577</v>
      </c>
    </row>
    <row r="9">
      <c r="A9" s="0" t="s">
        <v>37</v>
      </c>
      <c r="B9" s="0">
        <v>-0.92329945291481863</v>
      </c>
      <c r="F9" s="0">
        <f t="shared" si="0"/>
        <v>0.050275393692950754</v>
      </c>
      <c r="G9" s="0">
        <f t="shared" si="1"/>
        <v>0.050567131035551577</v>
      </c>
    </row>
    <row r="10">
      <c r="A10" s="0" t="s">
        <v>38</v>
      </c>
      <c r="B10" s="0">
        <v>-0.17368140795225173</v>
      </c>
      <c r="F10" s="0">
        <f t="shared" si="0"/>
        <v>0.050275393692950754</v>
      </c>
      <c r="G10" s="0">
        <f t="shared" si="1"/>
        <v>0.050567131035551577</v>
      </c>
    </row>
    <row r="11">
      <c r="A11" s="0" t="s">
        <v>39</v>
      </c>
      <c r="B11" s="0">
        <v>-0.0033646964227653786</v>
      </c>
      <c r="F11" s="0">
        <f t="shared" si="0"/>
        <v>0.050275393692950754</v>
      </c>
      <c r="G11" s="0">
        <f t="shared" si="1"/>
        <v>0.050567131035551577</v>
      </c>
    </row>
    <row r="12">
      <c r="A12" s="0" t="s">
        <v>40</v>
      </c>
      <c r="B12" s="0">
        <v>0.16852597137680903</v>
      </c>
      <c r="F12" s="0">
        <f t="shared" si="0"/>
        <v>0.050275393692950754</v>
      </c>
      <c r="G12" s="0">
        <f t="shared" si="1"/>
        <v>0.050567131035551577</v>
      </c>
    </row>
    <row r="13">
      <c r="A13" s="0" t="s">
        <v>41</v>
      </c>
      <c r="B13" s="0">
        <v>0.0344548279067185</v>
      </c>
      <c r="F13" s="0">
        <f t="shared" si="0"/>
        <v>0.050275393692950754</v>
      </c>
      <c r="G13" s="0">
        <f t="shared" si="1"/>
        <v>0.050567131035551577</v>
      </c>
    </row>
    <row r="14">
      <c r="A14" s="0" t="s">
        <v>42</v>
      </c>
      <c r="B14" s="0">
        <v>0.071645482582997744</v>
      </c>
      <c r="F14" s="0">
        <f t="shared" si="0"/>
        <v>0.050275393692950754</v>
      </c>
      <c r="G14" s="0">
        <f t="shared" si="1"/>
        <v>0.050567131035551577</v>
      </c>
    </row>
    <row r="15">
      <c r="A15" s="0" t="s">
        <v>43</v>
      </c>
      <c r="B15" s="0">
        <v>0.30740635271614991</v>
      </c>
      <c r="F15" s="0">
        <f t="shared" si="0"/>
        <v>0.050275393692950754</v>
      </c>
      <c r="G15" s="0">
        <f t="shared" si="1"/>
        <v>0.050567131035551577</v>
      </c>
    </row>
    <row r="16">
      <c r="A16" s="0" t="s">
        <v>44</v>
      </c>
      <c r="B16" s="0">
        <v>-0.062576838179825955</v>
      </c>
      <c r="F16" s="0">
        <f t="shared" si="0"/>
        <v>0.050275393692950754</v>
      </c>
      <c r="G16" s="0">
        <f t="shared" si="1"/>
        <v>0.050567131035551577</v>
      </c>
    </row>
    <row r="17">
      <c r="A17" s="0" t="s">
        <v>45</v>
      </c>
      <c r="B17" s="0">
        <v>-0.0015736358936138117</v>
      </c>
      <c r="F17" s="0">
        <f t="shared" si="0"/>
        <v>0.050275393692950754</v>
      </c>
      <c r="G17" s="0">
        <f t="shared" si="1"/>
        <v>0.050567131035551577</v>
      </c>
    </row>
    <row r="18">
      <c r="A18" s="0" t="s">
        <v>46</v>
      </c>
      <c r="B18" s="0">
        <v>-0.057988365046508505</v>
      </c>
      <c r="F18" s="0">
        <f t="shared" si="0"/>
        <v>0.050275393692950754</v>
      </c>
      <c r="G18" s="0">
        <f t="shared" si="1"/>
        <v>0.050567131035551577</v>
      </c>
    </row>
    <row r="19">
      <c r="A19" s="0" t="s">
        <v>47</v>
      </c>
      <c r="B19" s="0">
        <v>-0.034966324508374669</v>
      </c>
      <c r="F19" s="0">
        <f t="shared" si="0"/>
        <v>0.050275393692950754</v>
      </c>
      <c r="G19" s="0">
        <f t="shared" si="1"/>
        <v>0.050567131035551577</v>
      </c>
    </row>
    <row r="20">
      <c r="A20" s="0" t="s">
        <v>48</v>
      </c>
      <c r="B20" s="0">
        <v>0.069172019090938619</v>
      </c>
      <c r="F20" s="0">
        <f t="shared" si="0"/>
        <v>0.050275393692950754</v>
      </c>
      <c r="G20" s="0">
        <f t="shared" si="1"/>
        <v>0.050567131035551577</v>
      </c>
    </row>
    <row r="21">
      <c r="A21" s="0" t="s">
        <v>49</v>
      </c>
      <c r="B21" s="0">
        <v>-1.2423476481606652</v>
      </c>
      <c r="F21" s="0">
        <f t="shared" si="0"/>
        <v>0.050275393692950754</v>
      </c>
      <c r="G21" s="0">
        <f t="shared" si="1"/>
        <v>0.050567131035551577</v>
      </c>
    </row>
    <row r="22">
      <c r="A22" s="0" t="s">
        <v>50</v>
      </c>
      <c r="B22" s="0">
        <v>-3.9305745940641614</v>
      </c>
      <c r="F22" s="0">
        <f t="shared" si="0"/>
        <v>0.050275393692950754</v>
      </c>
      <c r="G22" s="0">
        <f t="shared" si="1"/>
        <v>0.050567131035551577</v>
      </c>
    </row>
    <row r="23">
      <c r="A23" s="0" t="s">
        <v>51</v>
      </c>
      <c r="B23" s="0">
        <v>-0.20535840327446842</v>
      </c>
      <c r="F23" s="0">
        <f t="shared" si="0"/>
        <v>0.050275393692950754</v>
      </c>
      <c r="G23" s="0">
        <f t="shared" si="1"/>
        <v>0.050567131035551577</v>
      </c>
    </row>
    <row r="24">
      <c r="A24" s="0" t="s">
        <v>52</v>
      </c>
      <c r="B24" s="0">
        <v>-0.18050707547769207</v>
      </c>
      <c r="F24" s="0">
        <f t="shared" si="0"/>
        <v>0.050275393692950754</v>
      </c>
      <c r="G24" s="0">
        <f t="shared" si="1"/>
        <v>0.050567131035551577</v>
      </c>
    </row>
    <row r="25">
      <c r="A25" s="0" t="s">
        <v>53</v>
      </c>
      <c r="B25" s="0">
        <v>-9.94597637393758</v>
      </c>
      <c r="F25" s="0">
        <f t="shared" si="0"/>
        <v>0.050275393692950754</v>
      </c>
      <c r="G25" s="0">
        <f t="shared" si="1"/>
        <v>0.050567131035551577</v>
      </c>
    </row>
    <row r="26">
      <c r="A26" s="0" t="s">
        <v>54</v>
      </c>
      <c r="B26" s="0">
        <v>-0.080463861139897119</v>
      </c>
      <c r="F26" s="0">
        <f t="shared" si="0"/>
        <v>0.050275393692950754</v>
      </c>
      <c r="G26" s="0">
        <f t="shared" si="1"/>
        <v>0.050567131035551577</v>
      </c>
    </row>
    <row r="27">
      <c r="A27" s="0" t="s">
        <v>55</v>
      </c>
      <c r="B27" s="0">
        <v>-3.0421332748708956</v>
      </c>
      <c r="F27" s="0">
        <f t="shared" si="0"/>
        <v>0.050275393692950754</v>
      </c>
      <c r="G27" s="0">
        <f t="shared" si="1"/>
        <v>0.050567131035551577</v>
      </c>
    </row>
    <row r="28">
      <c r="A28" s="0" t="s">
        <v>56</v>
      </c>
      <c r="B28" s="0">
        <v>-0.013204121234306143</v>
      </c>
      <c r="F28" s="0">
        <f t="shared" si="0"/>
        <v>0.050275393692950754</v>
      </c>
      <c r="G28" s="0">
        <f t="shared" si="1"/>
        <v>0.050567131035551577</v>
      </c>
    </row>
    <row r="29">
      <c r="A29" s="0" t="s">
        <v>57</v>
      </c>
      <c r="B29" s="0">
        <v>-0.047530353206362008</v>
      </c>
      <c r="F29" s="0">
        <f t="shared" si="0"/>
        <v>0.050275393692950754</v>
      </c>
      <c r="G29" s="0">
        <f t="shared" si="1"/>
        <v>0.050567131035551577</v>
      </c>
    </row>
    <row r="30">
      <c r="A30" s="0" t="s">
        <v>58</v>
      </c>
      <c r="B30" s="0">
        <v>-0.0653299025454811</v>
      </c>
      <c r="F30" s="0">
        <f t="shared" si="0"/>
        <v>0.050275393692950754</v>
      </c>
      <c r="G30" s="0">
        <f t="shared" si="1"/>
        <v>0.050567131035551577</v>
      </c>
    </row>
    <row r="31">
      <c r="A31" s="0" t="s">
        <v>59</v>
      </c>
      <c r="B31" s="0">
        <v>0.083230321315024725</v>
      </c>
      <c r="F31" s="0">
        <f t="shared" si="0"/>
        <v>0.050275393692950754</v>
      </c>
      <c r="G31" s="0">
        <f t="shared" si="1"/>
        <v>0.050567131035551577</v>
      </c>
    </row>
    <row r="32">
      <c r="A32" s="0" t="s">
        <v>60</v>
      </c>
      <c r="B32" s="0">
        <v>-0.0054781681320079656</v>
      </c>
      <c r="F32" s="0">
        <f t="shared" si="0"/>
        <v>0.050275393692950754</v>
      </c>
      <c r="G32" s="0">
        <f t="shared" si="1"/>
        <v>0.050567131035551577</v>
      </c>
    </row>
    <row r="33">
      <c r="A33" s="0" t="s">
        <v>61</v>
      </c>
      <c r="B33" s="0">
        <v>1.6914787601148476</v>
      </c>
      <c r="F33" s="0">
        <f t="shared" si="0"/>
        <v>0.050275393692950754</v>
      </c>
      <c r="G33" s="0">
        <f t="shared" si="1"/>
        <v>0.050567131035551577</v>
      </c>
    </row>
    <row r="34">
      <c r="A34" s="0" t="s">
        <v>62</v>
      </c>
      <c r="B34" s="0">
        <v>-0.0753014702733168</v>
      </c>
      <c r="F34" s="0">
        <f t="shared" si="0"/>
        <v>0.050275393692950754</v>
      </c>
      <c r="G34" s="0">
        <f t="shared" si="1"/>
        <v>0.050567131035551577</v>
      </c>
    </row>
    <row r="35">
      <c r="A35" s="0" t="s">
        <v>63</v>
      </c>
      <c r="B35" s="0">
        <v>0.0048867170479187649</v>
      </c>
      <c r="F35" s="0">
        <f t="shared" si="0"/>
        <v>0.050275393692950754</v>
      </c>
      <c r="G35" s="0">
        <f t="shared" si="1"/>
        <v>0.050567131035551577</v>
      </c>
    </row>
    <row r="36">
      <c r="A36" s="0" t="s">
        <v>64</v>
      </c>
      <c r="B36" s="0">
        <v>-0.025691022977252231</v>
      </c>
      <c r="F36" s="0">
        <f t="shared" si="0"/>
        <v>0.050275393692950754</v>
      </c>
      <c r="G36" s="0">
        <f t="shared" si="1"/>
        <v>0.050567131035551577</v>
      </c>
    </row>
    <row r="37">
      <c r="A37" s="0" t="s">
        <v>65</v>
      </c>
      <c r="B37" s="0">
        <v>0.10564598694790739</v>
      </c>
      <c r="F37" s="0">
        <f t="shared" si="0"/>
        <v>0.050275393692950754</v>
      </c>
      <c r="G37" s="0">
        <f t="shared" si="1"/>
        <v>0.050567131035551577</v>
      </c>
    </row>
    <row r="38">
      <c r="A38" s="0" t="s">
        <v>66</v>
      </c>
      <c r="B38" s="0">
        <v>-0.16168596485129427</v>
      </c>
      <c r="F38" s="0">
        <f t="shared" si="0"/>
        <v>0.050275393692950754</v>
      </c>
      <c r="G38" s="0">
        <f t="shared" si="1"/>
        <v>0.050567131035551577</v>
      </c>
    </row>
    <row r="39">
      <c r="A39" s="0" t="s">
        <v>67</v>
      </c>
      <c r="B39" s="0">
        <v>1.0911414276640414</v>
      </c>
      <c r="F39" s="0">
        <f t="shared" si="0"/>
        <v>0.050275393692950754</v>
      </c>
      <c r="G39" s="0">
        <f t="shared" si="1"/>
        <v>0.050567131035551577</v>
      </c>
    </row>
    <row r="40">
      <c r="A40" s="0" t="s">
        <v>68</v>
      </c>
      <c r="B40" s="0">
        <v>0.16631862450320512</v>
      </c>
      <c r="F40" s="0">
        <f t="shared" si="0"/>
        <v>0.050275393692950754</v>
      </c>
      <c r="G40" s="0">
        <f t="shared" si="1"/>
        <v>0.050567131035551577</v>
      </c>
    </row>
    <row r="41">
      <c r="A41" s="0" t="s">
        <v>69</v>
      </c>
      <c r="B41" s="0">
        <v>-0.095239406504518342</v>
      </c>
      <c r="F41" s="0">
        <f t="shared" si="0"/>
        <v>0.050275393692950754</v>
      </c>
      <c r="G41" s="0">
        <f t="shared" si="1"/>
        <v>0.050567131035551577</v>
      </c>
    </row>
    <row r="42">
      <c r="A42" s="0" t="s">
        <v>70</v>
      </c>
      <c r="B42" s="0">
        <v>0.31197456762456</v>
      </c>
      <c r="F42" s="0">
        <f t="shared" si="0"/>
        <v>0.050275393692950754</v>
      </c>
      <c r="G42" s="0">
        <f t="shared" si="1"/>
        <v>0.050567131035551577</v>
      </c>
    </row>
    <row r="43">
      <c r="A43" s="0" t="s">
        <v>71</v>
      </c>
      <c r="B43" s="0">
        <v>-0.055030054800761175</v>
      </c>
      <c r="F43" s="0">
        <f t="shared" si="0"/>
        <v>0.050275393692950754</v>
      </c>
      <c r="G43" s="0">
        <f t="shared" si="1"/>
        <v>0.050567131035551577</v>
      </c>
    </row>
    <row r="44">
      <c r="A44" s="0" t="s">
        <v>72</v>
      </c>
      <c r="B44" s="0">
        <v>0.21847273970633552</v>
      </c>
      <c r="F44" s="0">
        <f t="shared" si="0"/>
        <v>0.050275393692950754</v>
      </c>
      <c r="G44" s="0">
        <f t="shared" si="1"/>
        <v>0.050567131035551577</v>
      </c>
    </row>
    <row r="45">
      <c r="A45" s="0" t="s">
        <v>73</v>
      </c>
      <c r="B45" s="0">
        <v>-0.064081890955897336</v>
      </c>
      <c r="F45" s="0">
        <f t="shared" si="0"/>
        <v>0.050275393692950754</v>
      </c>
      <c r="G45" s="0">
        <f t="shared" si="1"/>
        <v>0.050567131035551577</v>
      </c>
    </row>
    <row r="46">
      <c r="A46" s="0" t="s">
        <v>74</v>
      </c>
      <c r="B46" s="0">
        <v>-0.0081791253929788255</v>
      </c>
      <c r="F46" s="0">
        <f t="shared" si="0"/>
        <v>0.050275393692950754</v>
      </c>
      <c r="G46" s="0">
        <f t="shared" si="1"/>
        <v>0.050567131035551577</v>
      </c>
    </row>
    <row r="47">
      <c r="A47" s="0" t="s">
        <v>75</v>
      </c>
      <c r="B47" s="0">
        <v>-0.13412212965906889</v>
      </c>
      <c r="F47" s="0">
        <f t="shared" si="0"/>
        <v>0.050275393692950754</v>
      </c>
      <c r="G47" s="0">
        <f t="shared" si="1"/>
        <v>0.050567131035551577</v>
      </c>
    </row>
    <row r="48">
      <c r="A48" s="0" t="s">
        <v>76</v>
      </c>
      <c r="B48" s="0">
        <v>-0.41870028175317486</v>
      </c>
      <c r="F48" s="0">
        <f t="shared" si="0"/>
        <v>0.050275393692950754</v>
      </c>
      <c r="G48" s="0">
        <f t="shared" si="1"/>
        <v>0.050567131035551577</v>
      </c>
    </row>
    <row r="49">
      <c r="A49" s="0" t="s">
        <v>77</v>
      </c>
      <c r="B49" s="0">
        <v>0.27327600403123142</v>
      </c>
      <c r="F49" s="0">
        <f t="shared" si="0"/>
        <v>0.050275393692950754</v>
      </c>
      <c r="G49" s="0">
        <f t="shared" si="1"/>
        <v>0.050567131035551577</v>
      </c>
    </row>
    <row r="50">
      <c r="A50" s="0" t="s">
        <v>78</v>
      </c>
      <c r="B50" s="0">
        <v>0.86058650737822973</v>
      </c>
      <c r="F50" s="0">
        <f t="shared" si="0"/>
        <v>0.050275393692950754</v>
      </c>
      <c r="G50" s="0">
        <f t="shared" si="1"/>
        <v>0.050567131035551577</v>
      </c>
    </row>
    <row r="51">
      <c r="A51" s="0" t="s">
        <v>79</v>
      </c>
      <c r="B51" s="0">
        <v>-0.58596149740570524</v>
      </c>
      <c r="F51" s="0">
        <f t="shared" si="0"/>
        <v>0.050275393692950754</v>
      </c>
      <c r="G51" s="0">
        <f t="shared" si="1"/>
        <v>0.050567131035551577</v>
      </c>
    </row>
    <row r="52">
      <c r="A52" s="0" t="s">
        <v>80</v>
      </c>
      <c r="B52" s="0">
        <v>-0.11232492777217829</v>
      </c>
      <c r="F52" s="0">
        <f t="shared" si="0"/>
        <v>0.050275393692950754</v>
      </c>
      <c r="G52" s="0">
        <f t="shared" si="1"/>
        <v>0.050567131035551577</v>
      </c>
    </row>
    <row r="53">
      <c r="A53" s="0" t="s">
        <v>81</v>
      </c>
      <c r="B53" s="0">
        <v>-0.5311759497853501</v>
      </c>
      <c r="F53" s="0">
        <f t="shared" si="0"/>
        <v>0.050275393692950754</v>
      </c>
      <c r="G53" s="0">
        <f t="shared" si="1"/>
        <v>0.050567131035551577</v>
      </c>
    </row>
    <row r="54">
      <c r="A54" s="0" t="s">
        <v>82</v>
      </c>
      <c r="B54" s="0">
        <v>0.11421301966282371</v>
      </c>
      <c r="F54" s="0">
        <f t="shared" si="0"/>
        <v>0.050275393692950754</v>
      </c>
      <c r="G54" s="0">
        <f t="shared" si="1"/>
        <v>0.050567131035551577</v>
      </c>
    </row>
    <row r="55">
      <c r="A55" s="0" t="s">
        <v>83</v>
      </c>
      <c r="B55" s="0">
        <v>-0.01811649221919609</v>
      </c>
      <c r="F55" s="0">
        <f t="shared" si="0"/>
        <v>0.050275393692950754</v>
      </c>
      <c r="G55" s="0">
        <f t="shared" si="1"/>
        <v>0.050567131035551577</v>
      </c>
    </row>
    <row r="56">
      <c r="A56" s="0" t="s">
        <v>84</v>
      </c>
      <c r="B56" s="0">
        <v>-0.02528569295986216</v>
      </c>
      <c r="F56" s="0">
        <f t="shared" si="0"/>
        <v>0.050275393692950754</v>
      </c>
      <c r="G56" s="0">
        <f t="shared" si="1"/>
        <v>0.050567131035551577</v>
      </c>
    </row>
    <row r="57">
      <c r="A57" s="0" t="s">
        <v>85</v>
      </c>
      <c r="B57" s="0">
        <v>-1.1714763268803097</v>
      </c>
      <c r="F57" s="0">
        <f t="shared" si="0"/>
        <v>0.050275393692950754</v>
      </c>
      <c r="G57" s="0">
        <f t="shared" si="1"/>
        <v>0.050567131035551577</v>
      </c>
    </row>
    <row r="58">
      <c r="A58" s="0" t="s">
        <v>86</v>
      </c>
      <c r="B58" s="0">
        <v>0.60714679580451048</v>
      </c>
      <c r="F58" s="0">
        <f t="shared" si="0"/>
        <v>0.050275393692950754</v>
      </c>
      <c r="G58" s="0">
        <f t="shared" si="1"/>
        <v>0.050567131035551577</v>
      </c>
    </row>
    <row r="59">
      <c r="A59" s="0" t="s">
        <v>87</v>
      </c>
      <c r="B59" s="0">
        <v>-4.6046189790425842</v>
      </c>
      <c r="F59" s="0">
        <f t="shared" si="0"/>
        <v>0.050275393692950754</v>
      </c>
      <c r="G59" s="0">
        <f t="shared" si="1"/>
        <v>0.050567131035551577</v>
      </c>
    </row>
    <row r="60">
      <c r="A60" s="0" t="s">
        <v>88</v>
      </c>
      <c r="B60" s="0">
        <v>-4.106609765188864</v>
      </c>
      <c r="F60" s="0">
        <f t="shared" si="0"/>
        <v>0.050275393692950754</v>
      </c>
      <c r="G60" s="0">
        <f t="shared" si="1"/>
        <v>0.050567131035551577</v>
      </c>
    </row>
    <row r="61">
      <c r="A61" s="0" t="s">
        <v>89</v>
      </c>
      <c r="B61" s="0">
        <v>0.18020990610545687</v>
      </c>
      <c r="G61" s="0">
        <f t="shared" si="1"/>
        <v>0.050567131035551577</v>
      </c>
    </row>
    <row r="62">
      <c r="A62" s="0" t="s">
        <v>90</v>
      </c>
      <c r="B62" s="0">
        <v>0.0927270418276689</v>
      </c>
    </row>
    <row r="63">
      <c r="A63" s="0" t="s">
        <v>91</v>
      </c>
      <c r="B63" s="0">
        <v>0.064362447895518551</v>
      </c>
    </row>
    <row r="64">
      <c r="A64" s="0" t="s">
        <v>92</v>
      </c>
      <c r="B64" s="0">
        <v>0.16272322459024752</v>
      </c>
    </row>
    <row r="65">
      <c r="A65" s="0" t="s">
        <v>93</v>
      </c>
      <c r="B65" s="0">
        <v>0.0057284943718821013</v>
      </c>
    </row>
    <row r="66">
      <c r="A66" s="0" t="s">
        <v>94</v>
      </c>
      <c r="B66" s="0">
        <v>-0.0038193874007533407</v>
      </c>
    </row>
    <row r="67">
      <c r="A67" s="0" t="s">
        <v>95</v>
      </c>
      <c r="B67" s="0">
        <v>0.074962777759549112</v>
      </c>
    </row>
    <row r="68">
      <c r="A68" s="0" t="s">
        <v>96</v>
      </c>
      <c r="B68" s="0">
        <v>0.00470801978187166</v>
      </c>
    </row>
    <row r="69">
      <c r="A69" s="0" t="s">
        <v>97</v>
      </c>
      <c r="B69" s="0">
        <v>0.050915448799246067</v>
      </c>
    </row>
    <row r="70">
      <c r="A70" s="0" t="s">
        <v>98</v>
      </c>
      <c r="B70" s="0">
        <v>0.03139696324289902</v>
      </c>
    </row>
    <row r="71">
      <c r="A71" s="0" t="s">
        <v>99</v>
      </c>
      <c r="B71" s="0">
        <v>-0.0033037424385901487</v>
      </c>
    </row>
    <row r="72">
      <c r="A72" s="0" t="s">
        <v>100</v>
      </c>
      <c r="B72" s="0">
        <v>0.0021789479403765042</v>
      </c>
    </row>
    <row r="73">
      <c r="A73" s="0" t="s">
        <v>101</v>
      </c>
      <c r="B73" s="0">
        <v>-0.00045089943348482436</v>
      </c>
    </row>
    <row r="74">
      <c r="A74" s="0" t="s">
        <v>102</v>
      </c>
      <c r="B74" s="0">
        <v>0.0011176276243717303</v>
      </c>
    </row>
    <row r="75">
      <c r="A75" s="0" t="s">
        <v>103</v>
      </c>
      <c r="B75" s="0">
        <v>-0.0033070790286164652</v>
      </c>
    </row>
    <row r="76">
      <c r="A76" s="0" t="s">
        <v>104</v>
      </c>
      <c r="B76" s="0">
        <v>0.016359364269394733</v>
      </c>
    </row>
    <row r="77">
      <c r="A77" s="0" t="s">
        <v>105</v>
      </c>
      <c r="B77" s="0">
        <v>0.40891533387079354</v>
      </c>
    </row>
    <row r="78">
      <c r="A78" s="0" t="s">
        <v>106</v>
      </c>
      <c r="B78" s="0">
        <v>0.71018647894745712</v>
      </c>
    </row>
    <row r="79">
      <c r="A79" s="0" t="s">
        <v>107</v>
      </c>
      <c r="B79" s="0">
        <v>0.019606688741301639</v>
      </c>
    </row>
    <row r="80">
      <c r="A80" s="0" t="s">
        <v>108</v>
      </c>
      <c r="B80" s="0">
        <v>0.32707805051520134</v>
      </c>
    </row>
    <row r="81">
      <c r="A81" s="0" t="s">
        <v>109</v>
      </c>
      <c r="B81" s="0">
        <v>0.0089903767500288823</v>
      </c>
    </row>
    <row r="82">
      <c r="A82" s="0" t="s">
        <v>110</v>
      </c>
      <c r="B82" s="0">
        <v>0.0086658179745752444</v>
      </c>
    </row>
    <row r="83">
      <c r="A83" s="0" t="s">
        <v>111</v>
      </c>
      <c r="B83" s="0">
        <v>0.0076228980264380509</v>
      </c>
    </row>
    <row r="84">
      <c r="A84" s="0" t="s">
        <v>112</v>
      </c>
      <c r="B84" s="0">
        <v>0.006139807828287578</v>
      </c>
    </row>
    <row r="85">
      <c r="A85" s="0" t="s">
        <v>113</v>
      </c>
      <c r="B85" s="0">
        <v>0.0085711241485440671</v>
      </c>
    </row>
    <row r="86">
      <c r="A86" s="0" t="s">
        <v>114</v>
      </c>
      <c r="B86" s="0">
        <v>0.007970423486845693</v>
      </c>
    </row>
    <row r="87">
      <c r="A87" s="0" t="s">
        <v>115</v>
      </c>
      <c r="B87" s="0">
        <v>0.010934347672101741</v>
      </c>
    </row>
    <row r="88">
      <c r="A88" s="0" t="s">
        <v>116</v>
      </c>
      <c r="B88" s="0">
        <v>0.020952915260719969</v>
      </c>
    </row>
    <row r="89">
      <c r="A89" s="0" t="s">
        <v>117</v>
      </c>
      <c r="B89" s="0">
        <v>0.00088224956824720265</v>
      </c>
    </row>
    <row r="90">
      <c r="A90" s="0" t="s">
        <v>118</v>
      </c>
      <c r="B90" s="0">
        <v>0.0079813599191612544</v>
      </c>
    </row>
    <row r="91">
      <c r="A91" s="0" t="s">
        <v>119</v>
      </c>
      <c r="B91" s="0">
        <v>0.039927370792248507</v>
      </c>
    </row>
    <row r="92">
      <c r="A92" s="0" t="s">
        <v>120</v>
      </c>
      <c r="B92" s="0">
        <v>0.045901492399018556</v>
      </c>
    </row>
    <row r="93">
      <c r="A93" s="0" t="s">
        <v>121</v>
      </c>
      <c r="B93" s="0">
        <v>0.055775222693662169</v>
      </c>
    </row>
    <row r="94">
      <c r="A94" s="0" t="s">
        <v>122</v>
      </c>
      <c r="B94" s="0">
        <v>0.033052597439181139</v>
      </c>
    </row>
    <row r="95">
      <c r="A95" s="0" t="s">
        <v>123</v>
      </c>
      <c r="B95" s="0">
        <v>0.034954752533783655</v>
      </c>
    </row>
    <row r="96">
      <c r="A96" s="0" t="s">
        <v>124</v>
      </c>
      <c r="B96" s="0">
        <v>0.0340357786418669</v>
      </c>
    </row>
    <row r="97">
      <c r="A97" s="0" t="s">
        <v>125</v>
      </c>
      <c r="B97" s="0">
        <v>0.0062164238301482518</v>
      </c>
    </row>
    <row r="98">
      <c r="A98" s="0" t="s">
        <v>126</v>
      </c>
      <c r="B98" s="0">
        <v>0.014098926165003949</v>
      </c>
    </row>
    <row r="99">
      <c r="A99" s="0" t="s">
        <v>127</v>
      </c>
      <c r="B99" s="0">
        <v>0.013053845710026157</v>
      </c>
    </row>
    <row r="100">
      <c r="A100" s="0" t="s">
        <v>128</v>
      </c>
      <c r="B100" s="0">
        <v>0.016349770390482125</v>
      </c>
    </row>
    <row r="101">
      <c r="A101" s="0" t="s">
        <v>129</v>
      </c>
      <c r="B101" s="0">
        <v>0.10842134761664664</v>
      </c>
    </row>
    <row r="102">
      <c r="A102" s="0" t="s">
        <v>130</v>
      </c>
      <c r="B102" s="0">
        <v>0.063684578612597229</v>
      </c>
    </row>
    <row r="103">
      <c r="A103" s="0" t="s">
        <v>131</v>
      </c>
      <c r="B103" s="0">
        <v>0.17519950843196874</v>
      </c>
    </row>
    <row r="104">
      <c r="A104" s="0" t="s">
        <v>132</v>
      </c>
      <c r="B104" s="0">
        <v>0.0789735876191045</v>
      </c>
    </row>
    <row r="105">
      <c r="A105" s="0" t="s">
        <v>133</v>
      </c>
      <c r="B105" s="0">
        <v>0.070366130814219149</v>
      </c>
    </row>
    <row r="106">
      <c r="A106" s="0" t="s">
        <v>134</v>
      </c>
      <c r="B106" s="0">
        <v>0.06515627998430952</v>
      </c>
    </row>
    <row r="107">
      <c r="A107" s="0" t="s">
        <v>135</v>
      </c>
      <c r="B107" s="0">
        <v>-0.0023671810008885274</v>
      </c>
    </row>
    <row r="108">
      <c r="A108" s="0" t="s">
        <v>136</v>
      </c>
      <c r="B108" s="0">
        <v>0.05105179998330682</v>
      </c>
    </row>
    <row r="109">
      <c r="A109" s="0" t="s">
        <v>137</v>
      </c>
      <c r="B109" s="0">
        <v>0.052116896851167806</v>
      </c>
    </row>
    <row r="110">
      <c r="A110" s="0" t="s">
        <v>138</v>
      </c>
      <c r="B110" s="0">
        <v>0.0959145296867784</v>
      </c>
    </row>
    <row r="111">
      <c r="A111" s="0" t="s">
        <v>139</v>
      </c>
      <c r="B111" s="0">
        <v>0.035766008926887735</v>
      </c>
    </row>
    <row r="112">
      <c r="A112" s="0" t="s">
        <v>140</v>
      </c>
      <c r="B112" s="0">
        <v>0.0047403002117389244</v>
      </c>
    </row>
    <row r="113">
      <c r="A113" s="0" t="s">
        <v>141</v>
      </c>
      <c r="B113" s="0">
        <v>0.002708626413886818</v>
      </c>
    </row>
    <row r="114">
      <c r="A114" s="0" t="s">
        <v>142</v>
      </c>
      <c r="B114" s="0">
        <v>-0.0054837509577996173</v>
      </c>
    </row>
    <row r="115">
      <c r="A115" s="0" t="s">
        <v>143</v>
      </c>
      <c r="B115" s="0">
        <v>0.0471665407381409</v>
      </c>
    </row>
    <row r="116">
      <c r="A116" s="0" t="s">
        <v>144</v>
      </c>
      <c r="B116" s="0">
        <v>0.051750322053353261</v>
      </c>
    </row>
    <row r="117">
      <c r="A117" s="0" t="s">
        <v>145</v>
      </c>
      <c r="B117" s="0">
        <v>0.005012356133351179</v>
      </c>
    </row>
    <row r="118">
      <c r="A118" s="0" t="s">
        <v>146</v>
      </c>
      <c r="B118" s="0">
        <v>0.035327074995125593</v>
      </c>
    </row>
    <row r="119">
      <c r="A119" s="0" t="s">
        <v>147</v>
      </c>
      <c r="B119" s="0">
        <v>0.073755099522287385</v>
      </c>
    </row>
    <row r="120">
      <c r="A120" s="0" t="s">
        <v>148</v>
      </c>
      <c r="B120" s="0">
        <v>0.058113396245206617</v>
      </c>
    </row>
    <row r="121">
      <c r="A121" s="0" t="s">
        <v>149</v>
      </c>
      <c r="B121" s="0">
        <v>0.050275393692950754</v>
      </c>
    </row>
    <row r="122">
      <c r="A122" s="0" t="s">
        <v>150</v>
      </c>
      <c r="B122" s="0">
        <v>0.050567131035551577</v>
      </c>
    </row>
  </sheetData>
  <conditionalFormatting sqref="B61:B12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{410582C7-DEED-489C-AD31-A3603A8EF720}</x14:id>
        </ext>
      </extLst>
    </cfRule>
  </conditionalFormatting>
  <conditionalFormatting sqref="B1:B6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{A3D3A58F-FEE8-430D-8E12-B925D1AF1BE8}</x14:id>
        </ext>
      </extLst>
    </cfRule>
  </conditionalFormatting>
  <pageMargins left="0.7" right="0.7" top="0.75" bottom="0.75" header="0.3" footer="0.3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0582C7-DEED-489C-AD31-A3603A8EF7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B61:B121</xm:sqref>
        </x14:conditionalFormatting>
        <x14:conditionalFormatting xmlns:xm="http://schemas.microsoft.com/office/excel/2006/main">
          <x14:cfRule type="dataBar" id="{A3D3A58F-FEE8-430D-8E12-B925D1AF1B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B1:B60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1"/>
  <sheetViews>
    <sheetView workbookViewId="0">
      <selection activeCell="B10" sqref="B10"/>
    </sheetView>
  </sheetViews>
  <sheetFormatPr defaultRowHeight="14.4" x14ac:dyDescent="0.3"/>
  <cols>
    <col min="1" max="1" width="58.44140625" customWidth="1"/>
  </cols>
  <sheetData>
    <row r="1">
      <c r="G1" s="0">
        <f>SUM(G2:G61)</f>
        <v>1.3455759868143378</v>
      </c>
      <c r="H1" s="0">
        <f>G1-G18-G19</f>
        <v>1.3150951344082957</v>
      </c>
      <c r="K1" s="0" t="s">
        <v>249</v>
      </c>
      <c r="L1" s="0">
        <f>SUM(K2:K61)</f>
        <v>203.27522302433866</v>
      </c>
      <c r="M1" s="60">
        <f>H1/L1</f>
        <v>0.0064695299055253577</v>
      </c>
    </row>
    <row r="2" ht="12.6" customHeight="1">
      <c r="A2" s="41" t="s">
        <v>250</v>
      </c>
      <c r="B2" s="43">
        <v>-0.29543719390646705</v>
      </c>
      <c r="C2" s="66" t="s">
        <v>251</v>
      </c>
      <c r="F2" s="0" t="s">
        <v>252</v>
      </c>
      <c r="G2" s="0">
        <v>0.75962601093075666</v>
      </c>
      <c r="J2" s="0" t="s">
        <v>253</v>
      </c>
      <c r="K2" s="0">
        <v>1.74077116183296</v>
      </c>
    </row>
    <row r="3" ht="12.6" customHeight="1">
      <c r="A3" s="41" t="s">
        <v>254</v>
      </c>
      <c r="B3" s="43">
        <v>-0.070737248135011033</v>
      </c>
      <c r="C3" s="66" t="s">
        <v>255</v>
      </c>
      <c r="F3" s="0" t="s">
        <v>256</v>
      </c>
      <c r="G3" s="0">
        <v>0.15162139870844493</v>
      </c>
      <c r="J3" s="0" t="s">
        <v>257</v>
      </c>
      <c r="K3" s="0">
        <v>0.664107668989069</v>
      </c>
    </row>
    <row r="4" ht="12.6" customHeight="1">
      <c r="A4" s="13" t="s">
        <v>258</v>
      </c>
      <c r="B4" s="46">
        <v>-0.099112195772810274</v>
      </c>
      <c r="C4" s="67" t="s">
        <v>259</v>
      </c>
      <c r="F4" s="0" t="s">
        <v>260</v>
      </c>
      <c r="G4" s="0">
        <v>0.17308166206975484</v>
      </c>
      <c r="J4" s="0" t="s">
        <v>261</v>
      </c>
      <c r="K4" s="0">
        <v>0.240344435812691</v>
      </c>
    </row>
    <row r="5" ht="12.6" customHeight="1">
      <c r="A5" s="63" t="s">
        <v>262</v>
      </c>
      <c r="B5" s="62">
        <v>-0.51096875218165083</v>
      </c>
      <c r="C5" s="65" t="s">
        <v>263</v>
      </c>
      <c r="F5" s="0" t="s">
        <v>264</v>
      </c>
      <c r="G5" s="0">
        <v>0.13828766942098403</v>
      </c>
      <c r="J5" s="0" t="s">
        <v>265</v>
      </c>
      <c r="K5" s="0">
        <v>1.29596178851498</v>
      </c>
    </row>
    <row r="6" ht="12.6" customHeight="1">
      <c r="A6" s="41" t="s">
        <v>266</v>
      </c>
      <c r="B6" s="43">
        <v>0.580278583958127</v>
      </c>
      <c r="C6" s="66" t="s">
        <v>267</v>
      </c>
      <c r="F6" s="0" t="s">
        <v>268</v>
      </c>
      <c r="G6" s="0">
        <v>0.00036808144592404</v>
      </c>
      <c r="J6" s="0">
        <v>20000</v>
      </c>
      <c r="K6" s="0">
        <v>-1.20622851861202</v>
      </c>
    </row>
    <row r="7" ht="12.6" customHeight="1">
      <c r="A7" s="61" t="s">
        <v>269</v>
      </c>
      <c r="B7" s="64">
        <v>0.59551863266821192</v>
      </c>
      <c r="C7" s="68" t="s">
        <v>270</v>
      </c>
      <c r="F7" s="0" t="s">
        <v>271</v>
      </c>
      <c r="G7" s="0">
        <v>0.0015856002547143151</v>
      </c>
      <c r="J7" s="0">
        <v>30000</v>
      </c>
      <c r="K7" s="0">
        <v>1.10817462188714</v>
      </c>
    </row>
    <row r="8">
      <c r="B8" s="59">
        <f>SUM(B2:B7)</f>
        <v>0.19954182663039977</v>
      </c>
      <c r="F8" s="0" t="s">
        <v>272</v>
      </c>
      <c r="G8" s="0">
        <v>-0.00039443394277949295</v>
      </c>
      <c r="J8" s="0" t="s">
        <v>273</v>
      </c>
      <c r="K8" s="0">
        <v>7.38353665973882</v>
      </c>
    </row>
    <row r="9">
      <c r="B9" s="59"/>
      <c r="F9" s="0" t="s">
        <v>274</v>
      </c>
      <c r="G9" s="0">
        <v>0.0007561897069949669</v>
      </c>
      <c r="J9" s="0" t="s">
        <v>275</v>
      </c>
      <c r="K9" s="0">
        <v>1.74264731795487</v>
      </c>
    </row>
    <row r="10">
      <c r="F10" s="0" t="s">
        <v>276</v>
      </c>
      <c r="G10" s="0">
        <v>-0.0015621002759447222</v>
      </c>
      <c r="J10" s="0">
        <v>80090</v>
      </c>
      <c r="K10" s="0">
        <v>1.7275484222643</v>
      </c>
    </row>
    <row r="11">
      <c r="F11" s="0" t="s">
        <v>277</v>
      </c>
      <c r="G11" s="0">
        <v>4.9008223078628177E-05</v>
      </c>
      <c r="J11" s="0" t="s">
        <v>278</v>
      </c>
      <c r="K11" s="0">
        <v>-0.187829400574947</v>
      </c>
    </row>
    <row r="12">
      <c r="F12" s="0" t="s">
        <v>279</v>
      </c>
      <c r="G12" s="0">
        <v>1.815606074779836E-06</v>
      </c>
      <c r="J12" s="0" t="s">
        <v>280</v>
      </c>
      <c r="K12" s="0">
        <v>-0.96884803249188</v>
      </c>
    </row>
    <row r="13">
      <c r="F13" s="0" t="s">
        <v>281</v>
      </c>
      <c r="G13" s="0">
        <v>-0.00024275800556758376</v>
      </c>
      <c r="J13" s="0" t="s">
        <v>282</v>
      </c>
      <c r="K13" s="0">
        <v>-0.127984469772626</v>
      </c>
    </row>
    <row r="14">
      <c r="F14" s="0" t="s">
        <v>283</v>
      </c>
      <c r="G14" s="0">
        <v>4.2853844868065948E-05</v>
      </c>
      <c r="J14" s="0">
        <v>100020</v>
      </c>
      <c r="K14" s="0">
        <v>-0.332977581935088</v>
      </c>
    </row>
    <row r="15">
      <c r="F15" s="0" t="s">
        <v>284</v>
      </c>
      <c r="G15" s="0">
        <v>8.35976438130926E-05</v>
      </c>
      <c r="J15" s="0">
        <v>100030</v>
      </c>
      <c r="K15" s="0">
        <v>1.87750827329633</v>
      </c>
    </row>
    <row r="16">
      <c r="F16" s="0" t="s">
        <v>285</v>
      </c>
      <c r="G16" s="0">
        <v>0.00026840055667265439</v>
      </c>
      <c r="J16" s="0">
        <v>100040</v>
      </c>
      <c r="K16" s="0">
        <v>1.47568870111674</v>
      </c>
    </row>
    <row r="17">
      <c r="F17" s="0" t="s">
        <v>286</v>
      </c>
      <c r="G17" s="0">
        <v>7.6101722796873E-05</v>
      </c>
      <c r="J17" s="0">
        <v>100050</v>
      </c>
      <c r="K17" s="0">
        <v>1.77642706446131</v>
      </c>
    </row>
    <row r="18">
      <c r="F18" s="0" t="s">
        <v>287</v>
      </c>
      <c r="G18" s="0">
        <v>0.033431935300038518</v>
      </c>
      <c r="J18" s="0">
        <v>11200</v>
      </c>
      <c r="K18" s="0">
        <v>1.4298715363219</v>
      </c>
    </row>
    <row r="19">
      <c r="F19" s="0" t="s">
        <v>288</v>
      </c>
      <c r="G19" s="0">
        <v>-0.0029510828939964817</v>
      </c>
      <c r="J19" s="0" t="s">
        <v>241</v>
      </c>
      <c r="K19" s="0">
        <v>7.83620872563573</v>
      </c>
    </row>
    <row r="20">
      <c r="F20" s="0" t="s">
        <v>289</v>
      </c>
      <c r="G20" s="0">
        <v>-1.2485038326182085E-05</v>
      </c>
      <c r="J20" s="0">
        <v>160000</v>
      </c>
      <c r="K20" s="0">
        <v>0.447549804936153</v>
      </c>
    </row>
    <row r="21">
      <c r="F21" s="0" t="s">
        <v>290</v>
      </c>
      <c r="G21" s="0">
        <v>0.001804508066529209</v>
      </c>
      <c r="J21" s="0">
        <v>200010</v>
      </c>
      <c r="K21" s="0">
        <v>3.03933750175989</v>
      </c>
    </row>
    <row r="22">
      <c r="F22" s="0" t="s">
        <v>291</v>
      </c>
      <c r="G22" s="0">
        <v>-0.00055781038191719118</v>
      </c>
      <c r="J22" s="0">
        <v>200020</v>
      </c>
      <c r="K22" s="0">
        <v>1.96991305236469</v>
      </c>
    </row>
    <row r="23">
      <c r="F23" s="0" t="s">
        <v>292</v>
      </c>
      <c r="G23" s="0">
        <v>-0.00022364111112282981</v>
      </c>
      <c r="J23" s="0">
        <v>210000</v>
      </c>
      <c r="K23" s="0">
        <v>9.53200288226806</v>
      </c>
    </row>
    <row r="24">
      <c r="F24" s="0" t="s">
        <v>293</v>
      </c>
      <c r="G24" s="0">
        <v>-3.18218329403569E-05</v>
      </c>
      <c r="J24" s="0">
        <v>220000</v>
      </c>
      <c r="K24" s="0">
        <v>1.98891249566555</v>
      </c>
    </row>
    <row r="25">
      <c r="F25" s="0" t="s">
        <v>294</v>
      </c>
      <c r="G25" s="0">
        <v>-0.0011040113258573847</v>
      </c>
      <c r="J25" s="0">
        <v>230010</v>
      </c>
      <c r="K25" s="0">
        <v>0.0642511640119973</v>
      </c>
    </row>
    <row r="26">
      <c r="F26" s="0" t="s">
        <v>295</v>
      </c>
      <c r="G26" s="0">
        <v>0.0068726358457049663</v>
      </c>
      <c r="J26" s="0">
        <v>230020</v>
      </c>
      <c r="K26" s="0">
        <v>2.05321613573642</v>
      </c>
    </row>
    <row r="27">
      <c r="F27" s="0" t="s">
        <v>296</v>
      </c>
      <c r="G27" s="0">
        <v>0.0039264452080542134</v>
      </c>
      <c r="J27" s="0">
        <v>240000</v>
      </c>
      <c r="K27" s="0">
        <v>0.475271816881102</v>
      </c>
    </row>
    <row r="28">
      <c r="F28" s="0" t="s">
        <v>297</v>
      </c>
      <c r="G28" s="0">
        <v>0.087414128263048285</v>
      </c>
      <c r="J28" s="0">
        <v>250000</v>
      </c>
      <c r="K28" s="0">
        <v>1.96829259450713</v>
      </c>
    </row>
    <row r="29">
      <c r="F29" s="0" t="s">
        <v>298</v>
      </c>
      <c r="G29" s="0">
        <v>-0.0013960003352833927</v>
      </c>
      <c r="J29" s="0">
        <v>280010</v>
      </c>
      <c r="K29" s="0">
        <v>1.84471506382108</v>
      </c>
    </row>
    <row r="30">
      <c r="F30" s="0" t="s">
        <v>299</v>
      </c>
      <c r="G30" s="0">
        <v>-0.00098372848516008887</v>
      </c>
      <c r="J30" s="0">
        <v>280020</v>
      </c>
      <c r="K30" s="0">
        <v>1.76165500036864</v>
      </c>
    </row>
    <row r="31">
      <c r="F31" s="0" t="s">
        <v>300</v>
      </c>
      <c r="G31" s="0">
        <v>0.00017146656352754093</v>
      </c>
      <c r="J31" s="0" t="s">
        <v>301</v>
      </c>
      <c r="K31" s="0">
        <v>-2.06793727517581</v>
      </c>
    </row>
    <row r="32">
      <c r="F32" s="0" t="s">
        <v>302</v>
      </c>
      <c r="G32" s="0">
        <v>-0.00666073315890614</v>
      </c>
      <c r="J32" s="0" t="s">
        <v>303</v>
      </c>
      <c r="K32" s="0">
        <v>0.482429024026693</v>
      </c>
    </row>
    <row r="33">
      <c r="F33" s="0" t="s">
        <v>304</v>
      </c>
      <c r="G33" s="0">
        <v>-0.0010891377360153776</v>
      </c>
      <c r="J33" s="0" t="s">
        <v>305</v>
      </c>
      <c r="K33" s="0">
        <v>0.86640849604612</v>
      </c>
    </row>
    <row r="34">
      <c r="F34" s="0" t="s">
        <v>306</v>
      </c>
      <c r="G34" s="0">
        <v>-0.0057216544354838916</v>
      </c>
      <c r="J34" s="0" t="s">
        <v>307</v>
      </c>
      <c r="K34" s="0">
        <v>-0.788740215317836</v>
      </c>
    </row>
    <row r="35">
      <c r="F35" s="0" t="s">
        <v>308</v>
      </c>
      <c r="G35" s="0">
        <v>-0.0032120879312981243</v>
      </c>
      <c r="J35" s="0" t="s">
        <v>309</v>
      </c>
      <c r="K35" s="0">
        <v>-0.258838259176628</v>
      </c>
    </row>
    <row r="36">
      <c r="F36" s="0" t="s">
        <v>310</v>
      </c>
      <c r="G36" s="0">
        <v>-0.0001402703541361211</v>
      </c>
      <c r="J36" s="0" t="s">
        <v>311</v>
      </c>
      <c r="K36" s="0">
        <v>0.00359247639099347</v>
      </c>
    </row>
    <row r="37">
      <c r="F37" s="0" t="s">
        <v>312</v>
      </c>
      <c r="G37" s="0">
        <v>0.0013427782622673634</v>
      </c>
      <c r="J37" s="0" t="s">
        <v>313</v>
      </c>
      <c r="K37" s="0">
        <v>2.14022886428672</v>
      </c>
    </row>
    <row r="38">
      <c r="F38" s="0" t="s">
        <v>314</v>
      </c>
      <c r="G38" s="0">
        <v>-3.8340594511715453E-05</v>
      </c>
      <c r="J38" s="0" t="s">
        <v>315</v>
      </c>
      <c r="K38" s="0">
        <v>-0.711666475938609</v>
      </c>
    </row>
    <row r="39">
      <c r="F39" s="0" t="s">
        <v>316</v>
      </c>
      <c r="G39" s="0">
        <v>0.0031004762518667128</v>
      </c>
      <c r="J39" s="0">
        <v>36700</v>
      </c>
      <c r="K39" s="0">
        <v>-0.000991138051542151</v>
      </c>
    </row>
    <row r="40">
      <c r="F40" s="0" t="s">
        <v>317</v>
      </c>
      <c r="G40" s="0">
        <v>4.9877171368839512E-05</v>
      </c>
      <c r="J40" s="0">
        <v>383900</v>
      </c>
      <c r="K40" s="0">
        <v>-4.0457232070299</v>
      </c>
    </row>
    <row r="41">
      <c r="F41" s="0" t="s">
        <v>318</v>
      </c>
      <c r="G41" s="0">
        <v>0.00018372704717373178</v>
      </c>
      <c r="J41" s="0">
        <v>45000</v>
      </c>
      <c r="K41" s="0">
        <v>3.4513321382573</v>
      </c>
    </row>
    <row r="42">
      <c r="F42" s="0" t="s">
        <v>319</v>
      </c>
      <c r="G42" s="0">
        <v>0.0014083075952214808</v>
      </c>
      <c r="J42" s="0">
        <v>470000</v>
      </c>
      <c r="K42" s="0">
        <v>3.18822154230175</v>
      </c>
    </row>
    <row r="43">
      <c r="F43" s="0" t="s">
        <v>320</v>
      </c>
      <c r="G43" s="0">
        <v>-0.001153553504782856</v>
      </c>
      <c r="J43" s="0">
        <v>490012</v>
      </c>
      <c r="K43" s="0">
        <v>-2.76849781431846</v>
      </c>
    </row>
    <row r="44">
      <c r="F44" s="0" t="s">
        <v>321</v>
      </c>
      <c r="G44" s="0">
        <v>-0.0015436506256878424</v>
      </c>
      <c r="J44" s="0" t="s">
        <v>322</v>
      </c>
      <c r="K44" s="0">
        <v>-2.93491515254715</v>
      </c>
    </row>
    <row r="45">
      <c r="F45" s="0" t="s">
        <v>323</v>
      </c>
      <c r="G45" s="0">
        <v>0.015053717075696138</v>
      </c>
      <c r="J45" s="0" t="s">
        <v>324</v>
      </c>
      <c r="K45" s="0">
        <v>-0.00811915904411526</v>
      </c>
    </row>
    <row r="46">
      <c r="F46" s="0" t="s">
        <v>325</v>
      </c>
      <c r="G46" s="0">
        <v>-0.00050050651160482573</v>
      </c>
      <c r="J46" s="0" t="s">
        <v>326</v>
      </c>
      <c r="K46" s="0">
        <v>-0.259505455928602</v>
      </c>
    </row>
    <row r="47">
      <c r="F47" s="0" t="s">
        <v>327</v>
      </c>
      <c r="G47" s="0">
        <v>3.9036941717279783E-05</v>
      </c>
      <c r="J47" s="0">
        <v>52000</v>
      </c>
      <c r="K47" s="0">
        <v>-2.62156671798246</v>
      </c>
    </row>
    <row r="48">
      <c r="F48" s="0" t="s">
        <v>328</v>
      </c>
      <c r="G48" s="0">
        <v>7.2241143539070185E-05</v>
      </c>
      <c r="J48" s="0">
        <v>550000</v>
      </c>
      <c r="K48" s="0">
        <v>1.26295722262324</v>
      </c>
    </row>
    <row r="49">
      <c r="F49" s="0" t="s">
        <v>329</v>
      </c>
      <c r="G49" s="0">
        <v>-0.00046391579452276233</v>
      </c>
      <c r="J49" s="0">
        <v>560000</v>
      </c>
      <c r="K49" s="0">
        <v>3.72836004339514</v>
      </c>
    </row>
    <row r="50">
      <c r="F50" s="0" t="s">
        <v>330</v>
      </c>
      <c r="G50" s="0">
        <v>0.0003263959387176385</v>
      </c>
      <c r="J50" s="0">
        <v>410009</v>
      </c>
      <c r="K50" s="0">
        <v>5.35607035905953</v>
      </c>
    </row>
    <row r="51">
      <c r="F51" s="0" t="s">
        <v>331</v>
      </c>
      <c r="G51" s="0">
        <v>0.000140359385454758</v>
      </c>
      <c r="J51" s="0">
        <v>420000</v>
      </c>
      <c r="K51" s="0">
        <v>8.74963016095986</v>
      </c>
    </row>
    <row r="52">
      <c r="F52" s="0" t="s">
        <v>332</v>
      </c>
      <c r="G52" s="0">
        <v>0.0019712647248883997</v>
      </c>
      <c r="J52" s="0">
        <v>43000</v>
      </c>
      <c r="K52" s="0">
        <v>10.7751583362821</v>
      </c>
    </row>
    <row r="53">
      <c r="F53" s="0" t="s">
        <v>333</v>
      </c>
      <c r="G53" s="0">
        <v>0.004552519260309057</v>
      </c>
      <c r="J53" s="0">
        <v>460000</v>
      </c>
      <c r="K53" s="0">
        <v>51.4441274069001</v>
      </c>
    </row>
    <row r="54">
      <c r="F54" s="0" t="s">
        <v>334</v>
      </c>
      <c r="G54" s="0">
        <v>-0.0029494413807502479</v>
      </c>
      <c r="J54" s="0" t="s">
        <v>335</v>
      </c>
      <c r="K54" s="0">
        <v>-1.97810155761862</v>
      </c>
    </row>
    <row r="55">
      <c r="F55" s="0" t="s">
        <v>336</v>
      </c>
      <c r="G55" s="0">
        <v>0.0012164848026622738</v>
      </c>
      <c r="J55" s="0" t="s">
        <v>337</v>
      </c>
      <c r="K55" s="0">
        <v>-0.516908581422</v>
      </c>
    </row>
    <row r="56">
      <c r="F56" s="0" t="s">
        <v>338</v>
      </c>
      <c r="G56" s="0">
        <v>-0.00015942748934516526</v>
      </c>
      <c r="J56" s="0">
        <v>53000</v>
      </c>
      <c r="K56" s="0">
        <v>-0.821398822607056</v>
      </c>
    </row>
    <row r="57">
      <c r="F57" s="0" t="s">
        <v>339</v>
      </c>
      <c r="G57" s="0">
        <v>-0.000832378219707941</v>
      </c>
      <c r="J57" s="0">
        <v>79000</v>
      </c>
      <c r="K57" s="0">
        <v>0.447326483378511</v>
      </c>
    </row>
    <row r="58">
      <c r="F58" s="0" t="s">
        <v>340</v>
      </c>
      <c r="G58" s="0">
        <v>0.0028191203899095019</v>
      </c>
      <c r="J58" s="0" t="s">
        <v>341</v>
      </c>
      <c r="K58" s="0">
        <v>-0.953812559454605</v>
      </c>
    </row>
    <row r="59">
      <c r="F59" s="0" t="s">
        <v>342</v>
      </c>
      <c r="G59" s="0">
        <v>-0.026089241987081735</v>
      </c>
      <c r="J59" s="0" t="s">
        <v>343</v>
      </c>
      <c r="K59" s="0">
        <v>34.6648899280859</v>
      </c>
    </row>
    <row r="60">
      <c r="F60" s="0" t="s">
        <v>344</v>
      </c>
      <c r="G60" s="0">
        <v>0.0079155978921505721</v>
      </c>
      <c r="J60" s="0" t="s">
        <v>345</v>
      </c>
      <c r="K60" s="0">
        <v>4.07741992848676</v>
      </c>
    </row>
    <row r="61">
      <c r="F61" s="0" t="s">
        <v>346</v>
      </c>
      <c r="G61" s="0">
        <v>0.0059287869023449957</v>
      </c>
      <c r="J61" s="0" t="s">
        <v>347</v>
      </c>
      <c r="K61" s="0">
        <v>40.7537471187103</v>
      </c>
    </row>
  </sheetData>
  <conditionalFormatting sqref="G2:G6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{448EB569-23A6-46E4-A8D8-608BFA840B83}</x14:id>
        </ext>
      </extLst>
    </cfRule>
  </conditionalFormatting>
  <pageMargins left="0.7" right="0.7" top="0.75" bottom="0.75" header="0.3" footer="0.3"/>
  <headerFooter/>
  <ignoredErrors>
    <ignoredError sqref="C2:C4" numberStoredAsText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8EB569-23A6-46E4-A8D8-608BFA840B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G2:G61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77</vt:i4>
      </vt:variant>
    </vt:vector>
  </HeadingPairs>
  <TitlesOfParts>
    <vt:vector size="77" baseType="lpstr">
      <vt:lpstr>skabelon</vt:lpstr>
      <vt:lpstr>01000a</vt:lpstr>
      <vt:lpstr>01000b</vt:lpstr>
      <vt:lpstr>01000c</vt:lpstr>
      <vt:lpstr>01000d</vt:lpstr>
      <vt:lpstr>020000</vt:lpstr>
      <vt:lpstr>030000</vt:lpstr>
      <vt:lpstr>060000a</vt:lpstr>
      <vt:lpstr>060000b</vt:lpstr>
      <vt:lpstr>080090</vt:lpstr>
      <vt:lpstr>100010a</vt:lpstr>
      <vt:lpstr>100010b</vt:lpstr>
      <vt:lpstr>100010c</vt:lpstr>
      <vt:lpstr>100020</vt:lpstr>
      <vt:lpstr>100030</vt:lpstr>
      <vt:lpstr>100040</vt:lpstr>
      <vt:lpstr>100050</vt:lpstr>
      <vt:lpstr>11200</vt:lpstr>
      <vt:lpstr>Industri</vt:lpstr>
      <vt:lpstr>160000</vt:lpstr>
      <vt:lpstr>200010</vt:lpstr>
      <vt:lpstr>200020</vt:lpstr>
      <vt:lpstr>210000</vt:lpstr>
      <vt:lpstr>220000</vt:lpstr>
      <vt:lpstr>230010</vt:lpstr>
      <vt:lpstr>230020</vt:lpstr>
      <vt:lpstr>240000</vt:lpstr>
      <vt:lpstr>250000</vt:lpstr>
      <vt:lpstr>280010</vt:lpstr>
      <vt:lpstr>280020</vt:lpstr>
      <vt:lpstr>190000a</vt:lpstr>
      <vt:lpstr>190000b</vt:lpstr>
      <vt:lpstr>383900</vt:lpstr>
      <vt:lpstr>350010a</vt:lpstr>
      <vt:lpstr>350010b</vt:lpstr>
      <vt:lpstr>350020a</vt:lpstr>
      <vt:lpstr>350020b</vt:lpstr>
      <vt:lpstr>350030a</vt:lpstr>
      <vt:lpstr>350030b</vt:lpstr>
      <vt:lpstr>36700</vt:lpstr>
      <vt:lpstr>383900old</vt:lpstr>
      <vt:lpstr>45000</vt:lpstr>
      <vt:lpstr>470000</vt:lpstr>
      <vt:lpstr>490012</vt:lpstr>
      <vt:lpstr>490030a</vt:lpstr>
      <vt:lpstr>50000a</vt:lpstr>
      <vt:lpstr>51000a</vt:lpstr>
      <vt:lpstr>52000</vt:lpstr>
      <vt:lpstr>550000</vt:lpstr>
      <vt:lpstr>560000</vt:lpstr>
      <vt:lpstr>410009</vt:lpstr>
      <vt:lpstr>420000</vt:lpstr>
      <vt:lpstr>43000</vt:lpstr>
      <vt:lpstr>460000</vt:lpstr>
      <vt:lpstr>490030b</vt:lpstr>
      <vt:lpstr>51000b</vt:lpstr>
      <vt:lpstr>53000</vt:lpstr>
      <vt:lpstr>79000</vt:lpstr>
      <vt:lpstr>50000b</vt:lpstr>
      <vt:lpstr>Tjenester</vt:lpstr>
      <vt:lpstr>Boliger</vt:lpstr>
      <vt:lpstr>Offentlig</vt:lpstr>
      <vt:lpstr>Husholdninger</vt:lpstr>
      <vt:lpstr>Total gammel</vt:lpstr>
      <vt:lpstr>Total</vt:lpstr>
      <vt:lpstr>Total DK gammel</vt:lpstr>
      <vt:lpstr>Total DK</vt:lpstr>
      <vt:lpstr>Vandfald</vt:lpstr>
      <vt:lpstr>Makro</vt:lpstr>
      <vt:lpstr>Makro_branche</vt:lpstr>
      <vt:lpstr>kvaelstof</vt:lpstr>
      <vt:lpstr>luft</vt:lpstr>
      <vt:lpstr>Tabel_reduktioner</vt:lpstr>
      <vt:lpstr>Off.finans</vt:lpstr>
      <vt:lpstr>FIG_sammen1</vt:lpstr>
      <vt:lpstr>FIG_sammen2</vt:lpstr>
      <vt:lpstr>Sammen_tabel</vt:lpstr>
    </vt:vector>
  </TitlesOfParts>
  <Company>Statens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Nyvang Dalgaard (DØRS)</dc:creator>
  <cp:lastModifiedBy>Thomas Nyvang Dalgaard (DØRS)</cp:lastModifiedBy>
  <dcterms:created xsi:type="dcterms:W3CDTF">2020-05-06T12:46:13Z</dcterms:created>
  <dcterms:modified xsi:type="dcterms:W3CDTF">2021-04-28T12:52:58Z</dcterms:modified>
</cp:coreProperties>
</file>